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Scenario Analysis" sheetId="2" state="visible" r:id="rId2"/>
    <sheet xmlns:r="http://schemas.openxmlformats.org/officeDocument/2006/relationships" name="Break-Eve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sz val="12"/>
    </font>
    <font>
      <b val="1"/>
      <color rgb="00FFFFFF"/>
    </font>
    <font/>
    <font>
      <color rgb="000000FF"/>
    </font>
    <font>
      <i val="1"/>
      <color rgb="00666666"/>
      <sz val="10"/>
    </font>
    <font>
      <color rgb="00000000"/>
    </font>
    <font>
      <b val="1"/>
      <color rgb="001E3A5F"/>
    </font>
    <font>
      <b val="1"/>
      <sz val="12"/>
    </font>
    <font>
      <b val="1"/>
    </font>
    <font>
      <i val="1"/>
      <color rgb="001E3A5F"/>
    </font>
    <font>
      <b val="1"/>
      <color rgb="001E3A5F"/>
      <sz val="18"/>
    </font>
    <font>
      <b val="1"/>
      <color rgb="001E3A5F"/>
      <sz val="12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164" fontId="7" fillId="0" borderId="1" applyAlignment="1" pivotButton="0" quotePrefix="0" xfId="0">
      <alignment horizontal="right"/>
    </xf>
    <xf numFmtId="0" fontId="8" fillId="3" borderId="0" pivotButton="0" quotePrefix="0" xfId="0"/>
    <xf numFmtId="0" fontId="0" fillId="3" borderId="0" pivotButton="0" quotePrefix="0" xfId="0"/>
    <xf numFmtId="165" fontId="7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9" fillId="0" borderId="0" pivotButton="0" quotePrefix="0" xfId="0"/>
    <xf numFmtId="0" fontId="5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KEALEE PLATFORM - PROFIT MARGIN ANALYSIS</t>
        </is>
      </c>
    </row>
    <row r="2">
      <c r="A2" s="2" t="inlineStr">
        <is>
          <t>Unit Economics by Package Tier</t>
        </is>
      </c>
    </row>
    <row r="4">
      <c r="A4" s="3" t="inlineStr">
        <is>
          <t>Metric</t>
        </is>
      </c>
      <c r="B4" s="3" t="inlineStr">
        <is>
          <t>A: Starter</t>
        </is>
      </c>
      <c r="C4" s="3" t="inlineStr">
        <is>
          <t>B: Professional</t>
        </is>
      </c>
      <c r="D4" s="3" t="inlineStr">
        <is>
          <t>C: Enterprise</t>
        </is>
      </c>
      <c r="E4" s="3" t="inlineStr">
        <is>
          <t>D: Platform</t>
        </is>
      </c>
      <c r="F4" s="3" t="inlineStr">
        <is>
          <t>Notes</t>
        </is>
      </c>
    </row>
    <row r="5">
      <c r="A5" s="4" t="inlineStr">
        <is>
          <t>Monthly Price (Low)</t>
        </is>
      </c>
      <c r="B5" s="5" t="n">
        <v>49</v>
      </c>
      <c r="C5" s="5" t="n">
        <v>1750</v>
      </c>
      <c r="D5" s="5" t="n">
        <v>8500</v>
      </c>
      <c r="E5" s="5" t="n">
        <v>25000</v>
      </c>
      <c r="F5" s="6" t="inlineStr">
        <is>
          <t>Blue = editable inputs</t>
        </is>
      </c>
    </row>
    <row r="6">
      <c r="A6" s="4" t="inlineStr">
        <is>
          <t>Monthly Price (High)</t>
        </is>
      </c>
      <c r="B6" s="5" t="n">
        <v>199</v>
      </c>
      <c r="C6" s="5" t="n">
        <v>4500</v>
      </c>
      <c r="D6" s="5" t="n">
        <v>16500</v>
      </c>
      <c r="E6" s="5" t="n">
        <v>50000</v>
      </c>
    </row>
    <row r="7">
      <c r="A7" s="4" t="inlineStr">
        <is>
          <t>Avg Monthly Revenue</t>
        </is>
      </c>
      <c r="B7" s="7">
        <f>(B5+B6)/2</f>
        <v/>
      </c>
      <c r="C7" s="7">
        <f>(C5+C6)/2</f>
        <v/>
      </c>
      <c r="D7" s="7">
        <f>(D5+D6)/2</f>
        <v/>
      </c>
      <c r="E7" s="7">
        <f>(E5+E6)/2</f>
        <v/>
      </c>
      <c r="F7" s="6" t="inlineStr">
        <is>
          <t>Midpoint</t>
        </is>
      </c>
    </row>
    <row r="8">
      <c r="A8" t="inlineStr"/>
    </row>
    <row r="9">
      <c r="A9" s="8" t="inlineStr">
        <is>
          <t>DIRECT COSTS</t>
        </is>
      </c>
      <c r="B9" s="9" t="n"/>
      <c r="C9" s="9" t="n"/>
      <c r="D9" s="9" t="n"/>
      <c r="E9" s="9" t="n"/>
      <c r="F9" s="9" t="n"/>
    </row>
    <row r="10">
      <c r="A10" s="4" t="inlineStr">
        <is>
          <t>Infrastructure (hosting/db)</t>
        </is>
      </c>
      <c r="B10" s="5" t="n">
        <v>8</v>
      </c>
      <c r="C10" s="5" t="n">
        <v>75</v>
      </c>
      <c r="D10" s="5" t="n">
        <v>250</v>
      </c>
      <c r="E10" s="5" t="n">
        <v>600</v>
      </c>
      <c r="F10" s="6" t="inlineStr">
        <is>
          <t>Vercel + Railway + Supabase</t>
        </is>
      </c>
    </row>
    <row r="11">
      <c r="A11" s="4" t="inlineStr">
        <is>
          <t>Stripe Processing (2.9% + $0.30)</t>
        </is>
      </c>
      <c r="B11" s="7">
        <f>B7*0.029+0.30</f>
        <v/>
      </c>
      <c r="C11" s="7">
        <f>C7*0.029+0.30</f>
        <v/>
      </c>
      <c r="D11" s="7">
        <f>D7*0.029+0.30</f>
        <v/>
      </c>
      <c r="E11" s="7">
        <f>E7*0.029+0.30</f>
        <v/>
      </c>
      <c r="F11" s="6" t="inlineStr">
        <is>
          <t>2.9% + $0.30/txn</t>
        </is>
      </c>
    </row>
    <row r="12">
      <c r="A12" s="4" t="inlineStr">
        <is>
          <t>Support Cost Allocation</t>
        </is>
      </c>
      <c r="B12" s="5" t="n">
        <v>5</v>
      </c>
      <c r="C12" s="5" t="n">
        <v>50</v>
      </c>
      <c r="D12" s="5" t="n">
        <v>200</v>
      </c>
      <c r="E12" s="5" t="n">
        <v>500</v>
      </c>
      <c r="F12" s="6" t="inlineStr">
        <is>
          <t>Based on support tier</t>
        </is>
      </c>
    </row>
    <row r="13">
      <c r="A13" s="4" t="inlineStr">
        <is>
          <t>Onboarding (amortized/12mo)</t>
        </is>
      </c>
      <c r="B13" s="5" t="n">
        <v>0</v>
      </c>
      <c r="C13" s="5" t="n">
        <v>42</v>
      </c>
      <c r="D13" s="5" t="n">
        <v>167</v>
      </c>
      <c r="E13" s="5" t="n">
        <v>833</v>
      </c>
      <c r="F13" s="6" t="inlineStr">
        <is>
          <t>Setup cost / 12 months</t>
        </is>
      </c>
    </row>
    <row r="14">
      <c r="A14" s="4" t="inlineStr">
        <is>
          <t>Total Direct Costs</t>
        </is>
      </c>
      <c r="B14" s="7">
        <f>SUM(B10:B13)</f>
        <v/>
      </c>
      <c r="C14" s="7">
        <f>SUM(C10:C13)</f>
        <v/>
      </c>
      <c r="D14" s="7">
        <f>SUM(D10:D13)</f>
        <v/>
      </c>
      <c r="E14" s="7">
        <f>SUM(E10:E13)</f>
        <v/>
      </c>
    </row>
    <row r="15">
      <c r="A15" t="inlineStr"/>
    </row>
    <row r="16">
      <c r="A16" s="8" t="inlineStr">
        <is>
          <t>GROSS MARGIN</t>
        </is>
      </c>
      <c r="B16" s="9" t="n"/>
      <c r="C16" s="9" t="n"/>
      <c r="D16" s="9" t="n"/>
      <c r="E16" s="9" t="n"/>
      <c r="F16" s="9" t="n"/>
    </row>
    <row r="17">
      <c r="A17" s="4" t="inlineStr">
        <is>
          <t>Gross Profit ($)</t>
        </is>
      </c>
      <c r="B17" s="7">
        <f>B7-B14</f>
        <v/>
      </c>
      <c r="C17" s="7">
        <f>C7-C14</f>
        <v/>
      </c>
      <c r="D17" s="7">
        <f>D7-D14</f>
        <v/>
      </c>
      <c r="E17" s="7">
        <f>E7-E14</f>
        <v/>
      </c>
    </row>
    <row r="18">
      <c r="A18" s="4" t="inlineStr">
        <is>
          <t>Gross Margin (%)</t>
        </is>
      </c>
      <c r="B18" s="10">
        <f>B17/B7</f>
        <v/>
      </c>
      <c r="C18" s="10">
        <f>C17/C7</f>
        <v/>
      </c>
      <c r="D18" s="10">
        <f>D17/D7</f>
        <v/>
      </c>
      <c r="E18" s="10">
        <f>E17/E7</f>
        <v/>
      </c>
      <c r="F18" s="6" t="inlineStr">
        <is>
          <t>Target: 75-85%</t>
        </is>
      </c>
    </row>
    <row r="19">
      <c r="A19" t="inlineStr"/>
    </row>
    <row r="20">
      <c r="A20" s="8" t="inlineStr">
        <is>
          <t>ALLOCATED OVERHEAD</t>
        </is>
      </c>
      <c r="B20" s="9" t="n"/>
      <c r="C20" s="9" t="n"/>
      <c r="D20" s="9" t="n"/>
      <c r="E20" s="9" t="n"/>
      <c r="F20" s="9" t="n"/>
    </row>
    <row r="21">
      <c r="A21" s="4" t="inlineStr">
        <is>
          <t>Platform Dev (% of revenue)</t>
        </is>
      </c>
      <c r="B21" s="11" t="n">
        <v>0.15</v>
      </c>
      <c r="C21" s="11" t="n">
        <v>0.12</v>
      </c>
      <c r="D21" s="11" t="n">
        <v>0.1</v>
      </c>
      <c r="E21" s="11" t="n">
        <v>0.08</v>
      </c>
      <c r="F21" s="6" t="inlineStr">
        <is>
          <t>Decreases with scale</t>
        </is>
      </c>
    </row>
    <row r="22">
      <c r="A22" s="4" t="inlineStr">
        <is>
          <t>Sales &amp; Marketing (% of rev)</t>
        </is>
      </c>
      <c r="B22" s="11" t="n">
        <v>0.25</v>
      </c>
      <c r="C22" s="11" t="n">
        <v>0.2</v>
      </c>
      <c r="D22" s="11" t="n">
        <v>0.15</v>
      </c>
      <c r="E22" s="11" t="n">
        <v>0.1</v>
      </c>
      <c r="F22" s="6" t="inlineStr">
        <is>
          <t>CAC amortized</t>
        </is>
      </c>
    </row>
    <row r="23">
      <c r="A23" s="4" t="inlineStr">
        <is>
          <t>G&amp;A Allocation (% of rev)</t>
        </is>
      </c>
      <c r="B23" s="11" t="n">
        <v>0.1</v>
      </c>
      <c r="C23" s="11" t="n">
        <v>0.08</v>
      </c>
      <c r="D23" s="11" t="n">
        <v>0.06</v>
      </c>
      <c r="E23" s="11" t="n">
        <v>0.05</v>
      </c>
      <c r="F23" s="6" t="inlineStr">
        <is>
          <t>Admin overhead</t>
        </is>
      </c>
    </row>
    <row r="24">
      <c r="A24" s="4" t="inlineStr">
        <is>
          <t>Total Overhead (%)</t>
        </is>
      </c>
      <c r="B24" s="10">
        <f>SUM(B21:B23)</f>
        <v/>
      </c>
      <c r="C24" s="10">
        <f>SUM(C21:C23)</f>
        <v/>
      </c>
      <c r="D24" s="10">
        <f>SUM(D21:D23)</f>
        <v/>
      </c>
      <c r="E24" s="10">
        <f>SUM(E21:E23)</f>
        <v/>
      </c>
    </row>
    <row r="25">
      <c r="A25" s="4" t="inlineStr">
        <is>
          <t>Total Overhead ($)</t>
        </is>
      </c>
      <c r="B25" s="7">
        <f>B24*B7</f>
        <v/>
      </c>
      <c r="C25" s="7">
        <f>C24*C7</f>
        <v/>
      </c>
      <c r="D25" s="7">
        <f>D24*D7</f>
        <v/>
      </c>
      <c r="E25" s="7">
        <f>E24*E7</f>
        <v/>
      </c>
    </row>
    <row r="26">
      <c r="A26" t="inlineStr"/>
    </row>
    <row r="27">
      <c r="A27" s="8" t="inlineStr">
        <is>
          <t>NET MARGIN</t>
        </is>
      </c>
      <c r="B27" s="9" t="n"/>
      <c r="C27" s="9" t="n"/>
      <c r="D27" s="9" t="n"/>
      <c r="E27" s="9" t="n"/>
      <c r="F27" s="9" t="n"/>
    </row>
    <row r="28">
      <c r="A28" s="4" t="inlineStr">
        <is>
          <t>Operating Profit ($)</t>
        </is>
      </c>
      <c r="B28" s="7">
        <f>B17-B25</f>
        <v/>
      </c>
      <c r="C28" s="7">
        <f>C17-C25</f>
        <v/>
      </c>
      <c r="D28" s="7">
        <f>D17-D25</f>
        <v/>
      </c>
      <c r="E28" s="7">
        <f>E17-E25</f>
        <v/>
      </c>
    </row>
    <row r="29">
      <c r="A29" s="4" t="inlineStr">
        <is>
          <t>Operating Margin (%)</t>
        </is>
      </c>
      <c r="B29" s="10">
        <f>B28/B7</f>
        <v/>
      </c>
      <c r="C29" s="10">
        <f>C28/C7</f>
        <v/>
      </c>
      <c r="D29" s="10">
        <f>D28/D7</f>
        <v/>
      </c>
      <c r="E29" s="10">
        <f>E28/E7</f>
        <v/>
      </c>
      <c r="F29" s="6" t="inlineStr">
        <is>
          <t>Target: 20-35%</t>
        </is>
      </c>
    </row>
    <row r="30">
      <c r="A30" t="inlineStr"/>
    </row>
    <row r="31">
      <c r="A31" s="8" t="inlineStr">
        <is>
          <t>ANNUAL VIEW</t>
        </is>
      </c>
      <c r="B31" s="9" t="n"/>
      <c r="C31" s="9" t="n"/>
      <c r="D31" s="9" t="n"/>
      <c r="E31" s="9" t="n"/>
      <c r="F31" s="9" t="n"/>
    </row>
    <row r="32">
      <c r="A32" s="4" t="inlineStr">
        <is>
          <t>Annual Revenue</t>
        </is>
      </c>
      <c r="B32" s="7">
        <f>B7*12</f>
        <v/>
      </c>
      <c r="C32" s="7">
        <f>C7*12</f>
        <v/>
      </c>
      <c r="D32" s="7">
        <f>D7*12</f>
        <v/>
      </c>
      <c r="E32" s="7">
        <f>E7*12</f>
        <v/>
      </c>
    </row>
    <row r="33">
      <c r="A33" s="4" t="inlineStr">
        <is>
          <t>Annual Gross Profit</t>
        </is>
      </c>
      <c r="B33" s="7">
        <f>B17*12</f>
        <v/>
      </c>
      <c r="C33" s="7">
        <f>C17*12</f>
        <v/>
      </c>
      <c r="D33" s="7">
        <f>D17*12</f>
        <v/>
      </c>
      <c r="E33" s="7">
        <f>E17*12</f>
        <v/>
      </c>
    </row>
    <row r="34">
      <c r="A34" s="4" t="inlineStr">
        <is>
          <t>Annual Operating Profit</t>
        </is>
      </c>
      <c r="B34" s="7">
        <f>B28*12</f>
        <v/>
      </c>
      <c r="C34" s="7">
        <f>C28*12</f>
        <v/>
      </c>
      <c r="D34" s="7">
        <f>D28*12</f>
        <v/>
      </c>
      <c r="E34" s="7">
        <f>E28*12</f>
        <v/>
      </c>
    </row>
    <row r="35">
      <c r="A35" s="4" t="inlineStr">
        <is>
          <t>LTV (24-mo avg life)</t>
        </is>
      </c>
      <c r="B35" s="7">
        <f>B28*24</f>
        <v/>
      </c>
      <c r="C35" s="7">
        <f>C28*24</f>
        <v/>
      </c>
      <c r="D35" s="7">
        <f>D28*24</f>
        <v/>
      </c>
      <c r="E35" s="7">
        <f>E28*24</f>
        <v/>
      </c>
      <c r="F35" s="6" t="inlineStr">
        <is>
          <t>Assumes 24-month retention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REVENUE SCENARIO ANALYSIS</t>
        </is>
      </c>
    </row>
    <row r="3">
      <c r="A3" s="12" t="inlineStr">
        <is>
          <t>Customer Mix Scenarios</t>
        </is>
      </c>
    </row>
    <row r="5">
      <c r="A5" s="3" t="inlineStr">
        <is>
          <t>Scenario</t>
        </is>
      </c>
      <c r="B5" s="3" t="inlineStr">
        <is>
          <t>Conservative</t>
        </is>
      </c>
      <c r="C5" s="3" t="inlineStr">
        <is>
          <t>Base Case</t>
        </is>
      </c>
      <c r="D5" s="3" t="inlineStr">
        <is>
          <t>Aggressive</t>
        </is>
      </c>
    </row>
    <row r="6">
      <c r="A6" s="4" t="inlineStr">
        <is>
          <t>Package A Customers</t>
        </is>
      </c>
      <c r="B6" s="13" t="n">
        <v>50</v>
      </c>
      <c r="C6" s="13" t="n">
        <v>100</v>
      </c>
      <c r="D6" s="13" t="n">
        <v>200</v>
      </c>
    </row>
    <row r="7">
      <c r="A7" s="4" t="inlineStr">
        <is>
          <t>Package B Customers</t>
        </is>
      </c>
      <c r="B7" s="13" t="n">
        <v>15</v>
      </c>
      <c r="C7" s="13" t="n">
        <v>30</v>
      </c>
      <c r="D7" s="13" t="n">
        <v>60</v>
      </c>
    </row>
    <row r="8">
      <c r="A8" s="4" t="inlineStr">
        <is>
          <t>Package C Customers</t>
        </is>
      </c>
      <c r="B8" s="13" t="n">
        <v>3</v>
      </c>
      <c r="C8" s="13" t="n">
        <v>8</v>
      </c>
      <c r="D8" s="13" t="n">
        <v>15</v>
      </c>
    </row>
    <row r="9">
      <c r="A9" s="4" t="inlineStr">
        <is>
          <t>Package D Customers</t>
        </is>
      </c>
      <c r="B9" s="13" t="n">
        <v>0</v>
      </c>
      <c r="C9" s="13" t="n">
        <v>2</v>
      </c>
      <c r="D9" s="13" t="n">
        <v>5</v>
      </c>
    </row>
    <row r="10">
      <c r="A10" s="4" t="inlineStr"/>
    </row>
    <row r="11">
      <c r="A11" s="4" t="inlineStr">
        <is>
          <t>Package A Monthly Rev</t>
        </is>
      </c>
      <c r="B11" s="7">
        <f>B6*124</f>
        <v/>
      </c>
      <c r="C11" s="7">
        <f>C6*124</f>
        <v/>
      </c>
      <c r="D11" s="7">
        <f>D6*124</f>
        <v/>
      </c>
    </row>
    <row r="12">
      <c r="A12" s="4" t="inlineStr">
        <is>
          <t>Package B Monthly Rev</t>
        </is>
      </c>
      <c r="B12" s="7">
        <f>B7*3125</f>
        <v/>
      </c>
      <c r="C12" s="7">
        <f>C7*3125</f>
        <v/>
      </c>
      <c r="D12" s="7">
        <f>D7*3125</f>
        <v/>
      </c>
    </row>
    <row r="13">
      <c r="A13" s="4" t="inlineStr">
        <is>
          <t>Package C Monthly Rev</t>
        </is>
      </c>
      <c r="B13" s="7">
        <f>B8*12500</f>
        <v/>
      </c>
      <c r="C13" s="7">
        <f>C8*12500</f>
        <v/>
      </c>
      <c r="D13" s="7">
        <f>D8*12500</f>
        <v/>
      </c>
    </row>
    <row r="14">
      <c r="A14" s="4" t="inlineStr">
        <is>
          <t>Package D Monthly Rev</t>
        </is>
      </c>
      <c r="B14" s="7">
        <f>B9*37500</f>
        <v/>
      </c>
      <c r="C14" s="7">
        <f>C9*37500</f>
        <v/>
      </c>
      <c r="D14" s="7">
        <f>D9*37500</f>
        <v/>
      </c>
    </row>
    <row r="15">
      <c r="A15" s="14" t="inlineStr">
        <is>
          <t>Total Monthly Revenue</t>
        </is>
      </c>
      <c r="B15" s="7">
        <f>SUM(B11:B14)</f>
        <v/>
      </c>
      <c r="C15" s="7">
        <f>SUM(C11:C14)</f>
        <v/>
      </c>
      <c r="D15" s="7">
        <f>SUM(D11:D14)</f>
        <v/>
      </c>
    </row>
    <row r="16">
      <c r="A16" s="4" t="inlineStr"/>
    </row>
    <row r="17">
      <c r="A17" s="4" t="inlineStr">
        <is>
          <t>Blended Gross Margin</t>
        </is>
      </c>
      <c r="B17" s="11" t="n">
        <v>0.82</v>
      </c>
      <c r="C17" s="11" t="n">
        <v>0.84</v>
      </c>
      <c r="D17" s="11" t="n">
        <v>0.85</v>
      </c>
    </row>
    <row r="18">
      <c r="A18" s="4" t="inlineStr">
        <is>
          <t>Monthly Gross Profit</t>
        </is>
      </c>
      <c r="B18" s="7">
        <f>B15*B17</f>
        <v/>
      </c>
      <c r="C18" s="7">
        <f>C15*C17</f>
        <v/>
      </c>
      <c r="D18" s="7">
        <f>D15*D17</f>
        <v/>
      </c>
    </row>
    <row r="19">
      <c r="A19" s="4" t="inlineStr"/>
    </row>
    <row r="20">
      <c r="A20" s="4" t="inlineStr">
        <is>
          <t>Total Overhead ($)</t>
        </is>
      </c>
      <c r="B20" s="5" t="n">
        <v>25000</v>
      </c>
      <c r="C20" s="5" t="n">
        <v>45000</v>
      </c>
      <c r="D20" s="5" t="n">
        <v>75000</v>
      </c>
    </row>
    <row r="21">
      <c r="A21" s="14" t="inlineStr">
        <is>
          <t>Monthly Operating Profit</t>
        </is>
      </c>
      <c r="B21" s="7">
        <f>B18-B20</f>
        <v/>
      </c>
      <c r="C21" s="7">
        <f>C18-C20</f>
        <v/>
      </c>
      <c r="D21" s="7">
        <f>D18-D20</f>
        <v/>
      </c>
    </row>
    <row r="22">
      <c r="A22" s="4" t="inlineStr">
        <is>
          <t>Operating Margin</t>
        </is>
      </c>
      <c r="B22" s="10">
        <f>B21/B15</f>
        <v/>
      </c>
      <c r="C22" s="10">
        <f>C21/C15</f>
        <v/>
      </c>
      <c r="D22" s="10">
        <f>D21/D15</f>
        <v/>
      </c>
    </row>
    <row r="23">
      <c r="A23" s="4" t="inlineStr"/>
    </row>
    <row r="24">
      <c r="A24" s="14" t="inlineStr">
        <is>
          <t>Annual Revenue</t>
        </is>
      </c>
      <c r="B24" s="7">
        <f>B15*12</f>
        <v/>
      </c>
      <c r="C24" s="7">
        <f>C15*12</f>
        <v/>
      </c>
      <c r="D24" s="7">
        <f>D15*12</f>
        <v/>
      </c>
    </row>
    <row r="25">
      <c r="A25" s="14" t="inlineStr">
        <is>
          <t>Annual Operating Profit</t>
        </is>
      </c>
      <c r="B25" s="7">
        <f>B21*12</f>
        <v/>
      </c>
      <c r="C25" s="7">
        <f>C21*12</f>
        <v/>
      </c>
      <c r="D25" s="7">
        <f>D21*12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BREAK-EVEN ANALYSIS</t>
        </is>
      </c>
    </row>
    <row r="3">
      <c r="A3" s="12" t="inlineStr">
        <is>
          <t>Fixed Monthly Costs</t>
        </is>
      </c>
    </row>
    <row r="5">
      <c r="A5" s="4" t="inlineStr">
        <is>
          <t>Tim (Founder/CEO)</t>
        </is>
      </c>
      <c r="B5" s="5" t="n">
        <v>10000</v>
      </c>
    </row>
    <row r="6">
      <c r="A6" s="4" t="inlineStr">
        <is>
          <t>Platform Infrastructure (base)</t>
        </is>
      </c>
      <c r="B6" s="5" t="n">
        <v>500</v>
      </c>
    </row>
    <row r="7">
      <c r="A7" s="4" t="inlineStr">
        <is>
          <t>Software/Tools</t>
        </is>
      </c>
      <c r="B7" s="5" t="n">
        <v>500</v>
      </c>
    </row>
    <row r="8">
      <c r="A8" s="4" t="inlineStr">
        <is>
          <t>Insurance/Legal/Accounting</t>
        </is>
      </c>
      <c r="B8" s="5" t="n">
        <v>1500</v>
      </c>
    </row>
    <row r="9">
      <c r="A9" s="4" t="inlineStr">
        <is>
          <t>Marketing (base)</t>
        </is>
      </c>
      <c r="B9" s="5" t="n">
        <v>2000</v>
      </c>
    </row>
    <row r="10">
      <c r="A10" s="14" t="inlineStr">
        <is>
          <t>Total Fixed Costs</t>
        </is>
      </c>
      <c r="B10" s="7">
        <f>SUM(B5:B9)</f>
        <v/>
      </c>
    </row>
    <row r="12">
      <c r="A12" s="12" t="inlineStr">
        <is>
          <t>Customers Needed to Break Even</t>
        </is>
      </c>
    </row>
    <row r="14">
      <c r="A14" s="3" t="inlineStr">
        <is>
          <t>Package</t>
        </is>
      </c>
      <c r="B14" s="3" t="inlineStr">
        <is>
          <t>Avg Price</t>
        </is>
      </c>
      <c r="C14" s="3" t="inlineStr">
        <is>
          <t>Gross Margin</t>
        </is>
      </c>
      <c r="D14" s="3" t="inlineStr">
        <is>
          <t>Contrib/Customer</t>
        </is>
      </c>
      <c r="E14" s="3" t="inlineStr">
        <is>
          <t>Customers Needed</t>
        </is>
      </c>
    </row>
    <row r="15">
      <c r="A15" s="4" t="inlineStr">
        <is>
          <t>A: Starter</t>
        </is>
      </c>
      <c r="B15" s="5" t="n">
        <v>124</v>
      </c>
      <c r="C15" s="11" t="n">
        <v>0.78</v>
      </c>
      <c r="D15" s="7">
        <f>B15*C15</f>
        <v/>
      </c>
      <c r="E15" s="15">
        <f>CEILING($B$10/D15,1)</f>
        <v/>
      </c>
    </row>
    <row r="16">
      <c r="A16" s="4" t="inlineStr">
        <is>
          <t>B: Professional</t>
        </is>
      </c>
      <c r="B16" s="5" t="n">
        <v>3125</v>
      </c>
      <c r="C16" s="11" t="n">
        <v>0.84</v>
      </c>
      <c r="D16" s="7">
        <f>B16*C16</f>
        <v/>
      </c>
      <c r="E16" s="15">
        <f>CEILING($B$10/D16,1)</f>
        <v/>
      </c>
    </row>
    <row r="17">
      <c r="A17" s="4" t="inlineStr">
        <is>
          <t>C: Enterprise</t>
        </is>
      </c>
      <c r="B17" s="5" t="n">
        <v>12500</v>
      </c>
      <c r="C17" s="11" t="n">
        <v>0.82</v>
      </c>
      <c r="D17" s="7">
        <f>B17*C17</f>
        <v/>
      </c>
      <c r="E17" s="15">
        <f>CEILING($B$10/D17,1)</f>
        <v/>
      </c>
    </row>
    <row r="18">
      <c r="A18" s="4" t="inlineStr">
        <is>
          <t>D: Platform</t>
        </is>
      </c>
      <c r="B18" s="5" t="n">
        <v>37500</v>
      </c>
      <c r="C18" s="11" t="n">
        <v>0.77</v>
      </c>
      <c r="D18" s="7">
        <f>B18*C18</f>
        <v/>
      </c>
      <c r="E18" s="15">
        <f>CEILING($B$10/D18,1)</f>
        <v/>
      </c>
    </row>
    <row r="20">
      <c r="A20" s="16" t="inlineStr">
        <is>
          <t>Interpretation: You need ~5 Package B customers OR ~2 Package C customers to cover fixed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7" t="inlineStr">
        <is>
          <t>PROFIT MARGIN SUMMARY</t>
        </is>
      </c>
    </row>
    <row r="3">
      <c r="A3" s="12" t="inlineStr">
        <is>
          <t>Key Metrics by Package</t>
        </is>
      </c>
    </row>
    <row r="5">
      <c r="A5" s="3" t="inlineStr"/>
      <c r="B5" s="3" t="inlineStr">
        <is>
          <t>A: Starter</t>
        </is>
      </c>
      <c r="C5" s="3" t="inlineStr">
        <is>
          <t>B: Pro</t>
        </is>
      </c>
      <c r="D5" s="3" t="inlineStr">
        <is>
          <t>C: Enterprise</t>
        </is>
      </c>
      <c r="E5" s="3" t="inlineStr">
        <is>
          <t>D: Platform</t>
        </is>
      </c>
    </row>
    <row r="6">
      <c r="A6" s="4" t="inlineStr">
        <is>
          <t>Avg Monthly Price</t>
        </is>
      </c>
      <c r="B6" s="7">
        <f>'Unit Economics'!B7</f>
        <v/>
      </c>
      <c r="C6" s="7">
        <f>'Unit Economics'!C7</f>
        <v/>
      </c>
      <c r="D6" s="7">
        <f>'Unit Economics'!D7</f>
        <v/>
      </c>
      <c r="E6" s="7">
        <f>'Unit Economics'!E7</f>
        <v/>
      </c>
    </row>
    <row r="7">
      <c r="A7" s="4" t="inlineStr">
        <is>
          <t>Gross Margin %</t>
        </is>
      </c>
      <c r="B7" s="10">
        <f>'Unit Economics'!B18</f>
        <v/>
      </c>
      <c r="C7" s="10">
        <f>'Unit Economics'!C18</f>
        <v/>
      </c>
      <c r="D7" s="10">
        <f>'Unit Economics'!D18</f>
        <v/>
      </c>
      <c r="E7" s="10">
        <f>'Unit Economics'!E18</f>
        <v/>
      </c>
    </row>
    <row r="8">
      <c r="A8" s="4" t="inlineStr">
        <is>
          <t>Operating Margin %</t>
        </is>
      </c>
      <c r="B8" s="10">
        <f>'Unit Economics'!B29</f>
        <v/>
      </c>
      <c r="C8" s="10">
        <f>'Unit Economics'!C29</f>
        <v/>
      </c>
      <c r="D8" s="10">
        <f>'Unit Economics'!D29</f>
        <v/>
      </c>
      <c r="E8" s="10">
        <f>'Unit Economics'!E29</f>
        <v/>
      </c>
    </row>
    <row r="9">
      <c r="A9" s="4" t="inlineStr">
        <is>
          <t>Monthly Op. Profit</t>
        </is>
      </c>
      <c r="B9" s="7">
        <f>'Unit Economics'!B28</f>
        <v/>
      </c>
      <c r="C9" s="7">
        <f>'Unit Economics'!C28</f>
        <v/>
      </c>
      <c r="D9" s="7">
        <f>'Unit Economics'!D28</f>
        <v/>
      </c>
      <c r="E9" s="7">
        <f>'Unit Economics'!E28</f>
        <v/>
      </c>
    </row>
    <row r="10">
      <c r="A10" s="4" t="inlineStr">
        <is>
          <t>Annual Op. Profit</t>
        </is>
      </c>
      <c r="B10" s="7">
        <f>'Unit Economics'!B34</f>
        <v/>
      </c>
      <c r="C10" s="7">
        <f>'Unit Economics'!C34</f>
        <v/>
      </c>
      <c r="D10" s="7">
        <f>'Unit Economics'!D34</f>
        <v/>
      </c>
      <c r="E10" s="7">
        <f>'Unit Economics'!E34</f>
        <v/>
      </c>
    </row>
    <row r="11">
      <c r="A11" s="4" t="inlineStr">
        <is>
          <t>24-mo LTV</t>
        </is>
      </c>
      <c r="B11" s="7">
        <f>'Unit Economics'!B35</f>
        <v/>
      </c>
      <c r="C11" s="7">
        <f>'Unit Economics'!C35</f>
        <v/>
      </c>
      <c r="D11" s="7">
        <f>'Unit Economics'!D35</f>
        <v/>
      </c>
      <c r="E11" s="7">
        <f>'Unit Economics'!E35</f>
        <v/>
      </c>
    </row>
    <row r="14">
      <c r="A14" s="18" t="inlineStr">
        <is>
          <t>KEY INSIGHTS</t>
        </is>
      </c>
    </row>
    <row r="16">
      <c r="A16" t="inlineStr">
        <is>
          <t>• Package B (Professional) offers best margin-to-volume balance</t>
        </is>
      </c>
    </row>
    <row r="17">
      <c r="A17" t="inlineStr">
        <is>
          <t>• Package C (Enterprise) highest absolute profit per customer</t>
        </is>
      </c>
    </row>
    <row r="18">
      <c r="A18" t="inlineStr">
        <is>
          <t>• Package A primarily serves as funnel entry / lead qualification</t>
        </is>
      </c>
    </row>
    <row r="19">
      <c r="A19" t="inlineStr">
        <is>
          <t>• Package D requires careful scoping to maintain margins</t>
        </is>
      </c>
    </row>
    <row r="20">
      <c r="A20" t="inlineStr">
        <is>
          <t>• Target blended gross margin: 80-85%</t>
        </is>
      </c>
    </row>
    <row r="21">
      <c r="A21" t="inlineStr">
        <is>
          <t>• Target operating margin: 25-35%</t>
        </is>
      </c>
    </row>
  </sheetData>
  <mergeCells count="6">
    <mergeCell ref="A21:E21"/>
    <mergeCell ref="A20:E20"/>
    <mergeCell ref="A16:E16"/>
    <mergeCell ref="A19:E19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2026-01-27T17:23:28Z</dcterms:created>
  <dcterms:modified xmlns:dcterms="http://purl.org/dc/terms/" xmlns:xsi="http://www.w3.org/2001/XMLSchema-instance" xsi:type="dcterms:W3CDTF">2026-01-27T17:23:28Z</dcterms:modified>
</cp:coreProperties>
</file>