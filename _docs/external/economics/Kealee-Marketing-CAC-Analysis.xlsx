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ing Channels" sheetId="1" state="visible" r:id="rId1"/>
    <sheet xmlns:r="http://schemas.openxmlformats.org/officeDocument/2006/relationships" name="CAC by Package" sheetId="2" state="visible" r:id="rId2"/>
    <sheet xmlns:r="http://schemas.openxmlformats.org/officeDocument/2006/relationships" name="True Profitability" sheetId="3" state="visible" r:id="rId3"/>
    <sheet xmlns:r="http://schemas.openxmlformats.org/officeDocument/2006/relationships" name="Portfolio Econom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0.0"/>
    <numFmt numFmtId="166" formatCode="0.0%"/>
  </numFmts>
  <fonts count="12">
    <font>
      <name val="Calibri"/>
      <family val="2"/>
      <color theme="1"/>
      <sz val="11"/>
      <scheme val="minor"/>
    </font>
    <font>
      <b val="1"/>
      <color rgb="001E3A5F"/>
      <sz val="16"/>
    </font>
    <font>
      <i val="1"/>
      <sz val="11"/>
    </font>
    <font>
      <b val="1"/>
      <color rgb="001E3A5F"/>
    </font>
    <font>
      <b val="1"/>
      <color rgb="00FFFFFF"/>
    </font>
    <font/>
    <font>
      <color rgb="000000FF"/>
    </font>
    <font>
      <color rgb="00000000"/>
    </font>
    <font>
      <b val="1"/>
    </font>
    <font>
      <b val="1"/>
      <sz val="12"/>
    </font>
    <font>
      <b val="1"/>
      <sz val="14"/>
    </font>
    <font>
      <i val="1"/>
      <color rgb="00666666"/>
    </font>
  </fonts>
  <fills count="6">
    <fill>
      <patternFill/>
    </fill>
    <fill>
      <patternFill patternType="gray125"/>
    </fill>
    <fill>
      <patternFill patternType="solid">
        <fgColor rgb="00E8F4F8"/>
      </patternFill>
    </fill>
    <fill>
      <patternFill patternType="solid">
        <fgColor rgb="001E3A5F"/>
      </patternFill>
    </fill>
    <fill>
      <patternFill patternType="solid">
        <fgColor rgb="00F5F5F5"/>
      </patternFill>
    </fill>
    <fill>
      <patternFill patternType="solid">
        <fgColor rgb="00D5E8D4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0" borderId="1" pivotButton="0" quotePrefix="0" xfId="0"/>
    <xf numFmtId="164" fontId="6" fillId="0" borderId="1" applyAlignment="1" pivotButton="0" quotePrefix="0" xfId="0">
      <alignment horizontal="right"/>
    </xf>
    <xf numFmtId="165" fontId="7" fillId="0" borderId="1" applyAlignment="1" pivotButton="0" quotePrefix="0" xfId="0">
      <alignment horizontal="right"/>
    </xf>
    <xf numFmtId="9" fontId="6" fillId="0" borderId="1" applyAlignment="1" pivotButton="0" quotePrefix="0" xfId="0">
      <alignment horizontal="right"/>
    </xf>
    <xf numFmtId="164" fontId="7" fillId="0" borderId="1" applyAlignment="1" pivotButton="0" quotePrefix="0" xfId="0">
      <alignment horizontal="right"/>
    </xf>
    <xf numFmtId="0" fontId="8" fillId="4" borderId="1" pivotButton="0" quotePrefix="0" xfId="0"/>
    <xf numFmtId="164" fontId="7" fillId="4" borderId="1" applyAlignment="1" pivotButton="0" quotePrefix="0" xfId="0">
      <alignment horizontal="right"/>
    </xf>
    <xf numFmtId="0" fontId="0" fillId="4" borderId="0" pivotButton="0" quotePrefix="0" xfId="0"/>
    <xf numFmtId="0" fontId="7" fillId="4" borderId="1" applyAlignment="1" pivotButton="0" quotePrefix="0" xfId="0">
      <alignment horizontal="right"/>
    </xf>
    <xf numFmtId="165" fontId="7" fillId="4" borderId="1" applyAlignment="1" pivotButton="0" quotePrefix="0" xfId="0">
      <alignment horizontal="right"/>
    </xf>
    <xf numFmtId="165" fontId="6" fillId="0" borderId="1" applyAlignment="1" pivotButton="0" quotePrefix="0" xfId="0">
      <alignment horizontal="right"/>
    </xf>
    <xf numFmtId="0" fontId="8" fillId="5" borderId="1" pivotButton="0" quotePrefix="0" xfId="0"/>
    <xf numFmtId="164" fontId="8" fillId="5" borderId="1" applyAlignment="1" pivotButton="0" quotePrefix="0" xfId="0">
      <alignment horizontal="right"/>
    </xf>
    <xf numFmtId="0" fontId="8" fillId="5" borderId="0" pivotButton="0" quotePrefix="0" xfId="0"/>
    <xf numFmtId="0" fontId="8" fillId="5" borderId="1" applyAlignment="1" pivotButton="0" quotePrefix="0" xfId="0">
      <alignment horizontal="right"/>
    </xf>
    <xf numFmtId="165" fontId="8" fillId="5" borderId="1" applyAlignment="1" pivotButton="0" quotePrefix="0" xfId="0">
      <alignment horizontal="right"/>
    </xf>
    <xf numFmtId="0" fontId="6" fillId="0" borderId="1" applyAlignment="1" pivotButton="0" quotePrefix="0" xfId="0">
      <alignment horizontal="right"/>
    </xf>
    <xf numFmtId="0" fontId="8" fillId="0" borderId="1" pivotButton="0" quotePrefix="0" xfId="0"/>
    <xf numFmtId="165" fontId="7" fillId="5" borderId="1" applyAlignment="1" pivotButton="0" quotePrefix="0" xfId="0">
      <alignment horizontal="right"/>
    </xf>
    <xf numFmtId="0" fontId="7" fillId="0" borderId="1" applyAlignment="1" pivotButton="0" quotePrefix="0" xfId="0">
      <alignment horizontal="right"/>
    </xf>
    <xf numFmtId="166" fontId="7" fillId="0" borderId="1" applyAlignment="1" pivotButton="0" quotePrefix="0" xfId="0">
      <alignment horizontal="right"/>
    </xf>
    <xf numFmtId="164" fontId="9" fillId="5" borderId="1" applyAlignment="1" pivotButton="0" quotePrefix="0" xfId="0">
      <alignment horizontal="right"/>
    </xf>
    <xf numFmtId="166" fontId="8" fillId="5" borderId="1" applyAlignment="1" pivotButton="0" quotePrefix="0" xfId="0">
      <alignment horizontal="right"/>
    </xf>
    <xf numFmtId="164" fontId="0" fillId="0" borderId="0" pivotButton="0" quotePrefix="0" xfId="0"/>
    <xf numFmtId="164" fontId="10" fillId="5" borderId="1" applyAlignment="1" pivotButton="0" quotePrefix="0" xfId="0">
      <alignment horizontal="right"/>
    </xf>
    <xf numFmtId="166" fontId="0" fillId="0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</cols>
  <sheetData>
    <row r="1">
      <c r="A1" s="1" t="inlineStr">
        <is>
          <t>MARKETING CHANNEL ECONOMICS</t>
        </is>
      </c>
    </row>
    <row r="2">
      <c r="A2" s="2" t="inlineStr">
        <is>
          <t>Cost Per Lead, Conversion Rates &amp; Customer Acquisition Cost by Channel</t>
        </is>
      </c>
    </row>
    <row r="4">
      <c r="A4" s="3" t="inlineStr">
        <is>
          <t>PAID ADVERTISING CHANNELS</t>
        </is>
      </c>
      <c r="B4" s="4" t="n"/>
      <c r="C4" s="4" t="n"/>
      <c r="D4" s="4" t="n"/>
      <c r="E4" s="4" t="n"/>
      <c r="F4" s="4" t="n"/>
      <c r="G4" s="4" t="n"/>
      <c r="H4" s="5" t="n"/>
    </row>
    <row r="6">
      <c r="A6" s="6" t="inlineStr">
        <is>
          <t>Channel</t>
        </is>
      </c>
      <c r="B6" s="6" t="inlineStr">
        <is>
          <t>Monthly Spend</t>
        </is>
      </c>
      <c r="C6" s="6" t="inlineStr">
        <is>
          <t>CPL</t>
        </is>
      </c>
      <c r="D6" s="6" t="inlineStr">
        <is>
          <t>Leads/Mo</t>
        </is>
      </c>
      <c r="E6" s="6" t="inlineStr">
        <is>
          <t>Lead→MQL %</t>
        </is>
      </c>
      <c r="F6" s="6" t="inlineStr">
        <is>
          <t>MQL→Cust %</t>
        </is>
      </c>
      <c r="G6" s="6" t="inlineStr">
        <is>
          <t>Customers</t>
        </is>
      </c>
      <c r="H6" s="6" t="inlineStr">
        <is>
          <t>CAC</t>
        </is>
      </c>
    </row>
    <row r="7">
      <c r="A7" s="7" t="inlineStr">
        <is>
          <t>Google Ads - Search</t>
        </is>
      </c>
      <c r="B7" s="8" t="n">
        <v>3000</v>
      </c>
      <c r="C7" s="8" t="n">
        <v>85</v>
      </c>
      <c r="D7" s="9">
        <f>B7/C7</f>
        <v/>
      </c>
      <c r="E7" s="10" t="n">
        <v>0.25</v>
      </c>
      <c r="F7" s="10" t="n">
        <v>0.15</v>
      </c>
      <c r="G7" s="9">
        <f>D7*E7*F7</f>
        <v/>
      </c>
      <c r="H7" s="11">
        <f>B7/G7</f>
        <v/>
      </c>
    </row>
    <row r="8">
      <c r="A8" s="7" t="inlineStr">
        <is>
          <t>Google Ads - Display</t>
        </is>
      </c>
      <c r="B8" s="8" t="n">
        <v>1500</v>
      </c>
      <c r="C8" s="8" t="n">
        <v>25</v>
      </c>
      <c r="D8" s="9">
        <f>B8/C8</f>
        <v/>
      </c>
      <c r="E8" s="10" t="n">
        <v>0.08</v>
      </c>
      <c r="F8" s="10" t="n">
        <v>0.08</v>
      </c>
      <c r="G8" s="9">
        <f>D8*E8*F8</f>
        <v/>
      </c>
      <c r="H8" s="11">
        <f>B8/G8</f>
        <v/>
      </c>
    </row>
    <row r="9">
      <c r="A9" s="7" t="inlineStr">
        <is>
          <t>Facebook/Instagram Ads</t>
        </is>
      </c>
      <c r="B9" s="8" t="n">
        <v>2000</v>
      </c>
      <c r="C9" s="8" t="n">
        <v>35</v>
      </c>
      <c r="D9" s="9">
        <f>B9/C9</f>
        <v/>
      </c>
      <c r="E9" s="10" t="n">
        <v>0.12</v>
      </c>
      <c r="F9" s="10" t="n">
        <v>0.1</v>
      </c>
      <c r="G9" s="9">
        <f>D9*E9*F9</f>
        <v/>
      </c>
      <c r="H9" s="11">
        <f>B9/G9</f>
        <v/>
      </c>
    </row>
    <row r="10">
      <c r="A10" s="7" t="inlineStr">
        <is>
          <t>LinkedIn Ads</t>
        </is>
      </c>
      <c r="B10" s="8" t="n">
        <v>2500</v>
      </c>
      <c r="C10" s="8" t="n">
        <v>120</v>
      </c>
      <c r="D10" s="9">
        <f>B10/C10</f>
        <v/>
      </c>
      <c r="E10" s="10" t="n">
        <v>0.3</v>
      </c>
      <c r="F10" s="10" t="n">
        <v>0.2</v>
      </c>
      <c r="G10" s="9">
        <f>D10*E10*F10</f>
        <v/>
      </c>
      <c r="H10" s="11">
        <f>B10/G10</f>
        <v/>
      </c>
    </row>
    <row r="11">
      <c r="A11" s="7" t="inlineStr">
        <is>
          <t>YouTube Ads</t>
        </is>
      </c>
      <c r="B11" s="8" t="n">
        <v>1000</v>
      </c>
      <c r="C11" s="8" t="n">
        <v>20</v>
      </c>
      <c r="D11" s="9">
        <f>B11/C11</f>
        <v/>
      </c>
      <c r="E11" s="10" t="n">
        <v>0.05</v>
      </c>
      <c r="F11" s="10" t="n">
        <v>0.05</v>
      </c>
      <c r="G11" s="9">
        <f>D11*E11*F11</f>
        <v/>
      </c>
      <c r="H11" s="11">
        <f>B11/G11</f>
        <v/>
      </c>
    </row>
    <row r="12">
      <c r="A12" s="7" t="inlineStr">
        <is>
          <t>Bing Ads</t>
        </is>
      </c>
      <c r="B12" s="8" t="n">
        <v>500</v>
      </c>
      <c r="C12" s="8" t="n">
        <v>65</v>
      </c>
      <c r="D12" s="9">
        <f>B12/C12</f>
        <v/>
      </c>
      <c r="E12" s="10" t="n">
        <v>0.2</v>
      </c>
      <c r="F12" s="10" t="n">
        <v>0.12</v>
      </c>
      <c r="G12" s="9">
        <f>D12*E12*F12</f>
        <v/>
      </c>
      <c r="H12" s="11">
        <f>B12/G12</f>
        <v/>
      </c>
    </row>
    <row r="13">
      <c r="A13" s="7" t="inlineStr">
        <is>
          <t>Retargeting (all platforms)</t>
        </is>
      </c>
      <c r="B13" s="8" t="n">
        <v>1000</v>
      </c>
      <c r="C13" s="8" t="n">
        <v>15</v>
      </c>
      <c r="D13" s="9">
        <f>B13/C13</f>
        <v/>
      </c>
      <c r="E13" s="10" t="n">
        <v>0.35</v>
      </c>
      <c r="F13" s="10" t="n">
        <v>0.25</v>
      </c>
      <c r="G13" s="9">
        <f>D13*E13*F13</f>
        <v/>
      </c>
      <c r="H13" s="11">
        <f>B13/G13</f>
        <v/>
      </c>
    </row>
    <row r="14">
      <c r="A14" s="7" t="inlineStr">
        <is>
          <t>Construction Industry Sites</t>
        </is>
      </c>
      <c r="B14" s="8" t="n">
        <v>1500</v>
      </c>
      <c r="C14" s="8" t="n">
        <v>95</v>
      </c>
      <c r="D14" s="9">
        <f>B14/C14</f>
        <v/>
      </c>
      <c r="E14" s="10" t="n">
        <v>0.35</v>
      </c>
      <c r="F14" s="10" t="n">
        <v>0.18</v>
      </c>
      <c r="G14" s="9">
        <f>D14*E14*F14</f>
        <v/>
      </c>
      <c r="H14" s="11">
        <f>B14/G14</f>
        <v/>
      </c>
    </row>
    <row r="15">
      <c r="A15" s="12" t="inlineStr">
        <is>
          <t>PAID SUBTOTAL</t>
        </is>
      </c>
      <c r="B15" s="13">
        <f>SUM(B7:B14)</f>
        <v/>
      </c>
      <c r="C15" s="14" t="n"/>
      <c r="D15" s="15">
        <f>SUM(D7:D14)</f>
        <v/>
      </c>
      <c r="E15" s="14" t="n"/>
      <c r="F15" s="14" t="n"/>
      <c r="G15" s="16">
        <f>SUM(G7:G14)</f>
        <v/>
      </c>
      <c r="H15" s="13">
        <f>B15/G15</f>
        <v/>
      </c>
    </row>
    <row r="18">
      <c r="A18" s="3" t="inlineStr">
        <is>
          <t>ORGANIC / LOW-COST CHANNELS</t>
        </is>
      </c>
      <c r="B18" s="4" t="n"/>
      <c r="C18" s="4" t="n"/>
      <c r="D18" s="4" t="n"/>
      <c r="E18" s="4" t="n"/>
      <c r="F18" s="4" t="n"/>
      <c r="G18" s="4" t="n"/>
      <c r="H18" s="5" t="n"/>
    </row>
    <row r="20">
      <c r="A20" s="6" t="inlineStr">
        <is>
          <t>Channel</t>
        </is>
      </c>
      <c r="B20" s="6" t="inlineStr">
        <is>
          <t>Monthly Cost</t>
        </is>
      </c>
      <c r="C20" s="6" t="inlineStr">
        <is>
          <t>Est CPL</t>
        </is>
      </c>
      <c r="D20" s="6" t="inlineStr">
        <is>
          <t>Leads/Mo</t>
        </is>
      </c>
      <c r="E20" s="6" t="inlineStr">
        <is>
          <t>Lead→MQL %</t>
        </is>
      </c>
      <c r="F20" s="6" t="inlineStr">
        <is>
          <t>MQL→Cust %</t>
        </is>
      </c>
      <c r="G20" s="6" t="inlineStr">
        <is>
          <t>Customers</t>
        </is>
      </c>
      <c r="H20" s="6" t="inlineStr">
        <is>
          <t>CAC</t>
        </is>
      </c>
    </row>
    <row r="21">
      <c r="A21" s="7" t="inlineStr">
        <is>
          <t>SEO / Content Marketing</t>
        </is>
      </c>
      <c r="B21" s="8" t="n">
        <v>500</v>
      </c>
      <c r="C21" s="8" t="n">
        <v>15</v>
      </c>
      <c r="D21" s="17" t="n">
        <v>35</v>
      </c>
      <c r="E21" s="10" t="n">
        <v>0.2</v>
      </c>
      <c r="F21" s="10" t="n">
        <v>0.12</v>
      </c>
      <c r="G21" s="9">
        <f>D21*E21*F21</f>
        <v/>
      </c>
      <c r="H21" s="11">
        <f>B21/G21</f>
        <v/>
      </c>
    </row>
    <row r="22">
      <c r="A22" s="7" t="inlineStr">
        <is>
          <t>Email Marketing</t>
        </is>
      </c>
      <c r="B22" s="8" t="n">
        <v>200</v>
      </c>
      <c r="C22" s="8" t="n">
        <v>5</v>
      </c>
      <c r="D22" s="17" t="n">
        <v>40</v>
      </c>
      <c r="E22" s="10" t="n">
        <v>0.15</v>
      </c>
      <c r="F22" s="10" t="n">
        <v>0.08</v>
      </c>
      <c r="G22" s="9">
        <f>D22*E22*F22</f>
        <v/>
      </c>
      <c r="H22" s="11">
        <f>B22/G22</f>
        <v/>
      </c>
    </row>
    <row r="23">
      <c r="A23" s="7" t="inlineStr">
        <is>
          <t>Referral Program</t>
        </is>
      </c>
      <c r="B23" s="8" t="n">
        <v>300</v>
      </c>
      <c r="C23" s="8" t="n">
        <v>25</v>
      </c>
      <c r="D23" s="17" t="n">
        <v>12</v>
      </c>
      <c r="E23" s="10" t="n">
        <v>0.5</v>
      </c>
      <c r="F23" s="10" t="n">
        <v>0.35</v>
      </c>
      <c r="G23" s="9">
        <f>D23*E23*F23</f>
        <v/>
      </c>
      <c r="H23" s="11">
        <f>B23/G23</f>
        <v/>
      </c>
    </row>
    <row r="24">
      <c r="A24" s="7" t="inlineStr">
        <is>
          <t>Social Media (organic)</t>
        </is>
      </c>
      <c r="B24" s="8" t="n">
        <v>150</v>
      </c>
      <c r="C24" s="8" t="n">
        <v>10</v>
      </c>
      <c r="D24" s="17" t="n">
        <v>15</v>
      </c>
      <c r="E24" s="10" t="n">
        <v>0.1</v>
      </c>
      <c r="F24" s="10" t="n">
        <v>0.06</v>
      </c>
      <c r="G24" s="9">
        <f>D24*E24*F24</f>
        <v/>
      </c>
      <c r="H24" s="11">
        <f>B24/G24</f>
        <v/>
      </c>
    </row>
    <row r="25">
      <c r="A25" s="7" t="inlineStr">
        <is>
          <t>Networking / Trade Shows</t>
        </is>
      </c>
      <c r="B25" s="8" t="n">
        <v>800</v>
      </c>
      <c r="C25" s="8" t="n">
        <v>150</v>
      </c>
      <c r="D25" s="17" t="n">
        <v>5</v>
      </c>
      <c r="E25" s="10" t="n">
        <v>0.6</v>
      </c>
      <c r="F25" s="10" t="n">
        <v>0.4</v>
      </c>
      <c r="G25" s="9">
        <f>D25*E25*F25</f>
        <v/>
      </c>
      <c r="H25" s="11">
        <f>B25/G25</f>
        <v/>
      </c>
    </row>
    <row r="26">
      <c r="A26" s="7" t="inlineStr">
        <is>
          <t>Partnerships / Co-marketing</t>
        </is>
      </c>
      <c r="B26" s="8" t="n">
        <v>400</v>
      </c>
      <c r="C26" s="8" t="n">
        <v>50</v>
      </c>
      <c r="D26" s="17" t="n">
        <v>8</v>
      </c>
      <c r="E26" s="10" t="n">
        <v>0.45</v>
      </c>
      <c r="F26" s="10" t="n">
        <v>0.3</v>
      </c>
      <c r="G26" s="9">
        <f>D26*E26*F26</f>
        <v/>
      </c>
      <c r="H26" s="11">
        <f>B26/G26</f>
        <v/>
      </c>
    </row>
    <row r="27">
      <c r="A27" s="7" t="inlineStr">
        <is>
          <t>Webinars / Education</t>
        </is>
      </c>
      <c r="B27" s="8" t="n">
        <v>300</v>
      </c>
      <c r="C27" s="8" t="n">
        <v>30</v>
      </c>
      <c r="D27" s="17" t="n">
        <v>10</v>
      </c>
      <c r="E27" s="10" t="n">
        <v>0.35</v>
      </c>
      <c r="F27" s="10" t="n">
        <v>0.2</v>
      </c>
      <c r="G27" s="9">
        <f>D27*E27*F27</f>
        <v/>
      </c>
      <c r="H27" s="11">
        <f>B27/G27</f>
        <v/>
      </c>
    </row>
    <row r="28">
      <c r="A28" s="7" t="inlineStr">
        <is>
          <t>Direct Outreach / Cold</t>
        </is>
      </c>
      <c r="B28" s="8" t="n">
        <v>200</v>
      </c>
      <c r="C28" s="8" t="n">
        <v>75</v>
      </c>
      <c r="D28" s="17" t="n">
        <v>3</v>
      </c>
      <c r="E28" s="10" t="n">
        <v>0.25</v>
      </c>
      <c r="F28" s="10" t="n">
        <v>0.15</v>
      </c>
      <c r="G28" s="9">
        <f>D28*E28*F28</f>
        <v/>
      </c>
      <c r="H28" s="11">
        <f>B28/G28</f>
        <v/>
      </c>
    </row>
    <row r="29">
      <c r="A29" s="7" t="inlineStr">
        <is>
          <t>GoHighLevel Automations</t>
        </is>
      </c>
      <c r="B29" s="8" t="n">
        <v>297</v>
      </c>
      <c r="C29" s="8" t="n">
        <v>20</v>
      </c>
      <c r="D29" s="17" t="n">
        <v>15</v>
      </c>
      <c r="E29" s="10" t="n">
        <v>0.3</v>
      </c>
      <c r="F29" s="10" t="n">
        <v>0.18</v>
      </c>
      <c r="G29" s="9">
        <f>D29*E29*F29</f>
        <v/>
      </c>
      <c r="H29" s="11">
        <f>B29/G29</f>
        <v/>
      </c>
    </row>
    <row r="30">
      <c r="A30" s="12" t="inlineStr">
        <is>
          <t>ORGANIC SUBTOTAL</t>
        </is>
      </c>
      <c r="B30" s="13">
        <f>SUM(B21:B29)</f>
        <v/>
      </c>
      <c r="C30" s="14" t="n"/>
      <c r="D30" s="15">
        <f>SUM(D21:D29)</f>
        <v/>
      </c>
      <c r="E30" s="14" t="n"/>
      <c r="F30" s="14" t="n"/>
      <c r="G30" s="16">
        <f>SUM(G21:G29)</f>
        <v/>
      </c>
      <c r="H30" s="13">
        <f>B30/G30</f>
        <v/>
      </c>
    </row>
    <row r="32">
      <c r="A32" s="18" t="inlineStr">
        <is>
          <t>TOTAL ALL CHANNELS</t>
        </is>
      </c>
      <c r="B32" s="19">
        <f>B15+B30</f>
        <v/>
      </c>
      <c r="C32" s="20" t="n"/>
      <c r="D32" s="21">
        <f>D15+D30</f>
        <v/>
      </c>
      <c r="E32" s="20" t="n"/>
      <c r="F32" s="20" t="n"/>
      <c r="G32" s="22">
        <f>G15+G30</f>
        <v/>
      </c>
      <c r="H32" s="19">
        <f>B32/G32</f>
        <v/>
      </c>
    </row>
  </sheetData>
  <mergeCells count="3">
    <mergeCell ref="A18:H18"/>
    <mergeCell ref="A4:H4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</cols>
  <sheetData>
    <row r="1">
      <c r="A1" s="1" t="inlineStr">
        <is>
          <t>CUSTOMER ACQUISITION COST BY PACKAGE</t>
        </is>
      </c>
    </row>
    <row r="2">
      <c r="A2" s="2" t="inlineStr">
        <is>
          <t>Different packages have different CAC due to sales cycle complexity</t>
        </is>
      </c>
    </row>
    <row r="4">
      <c r="A4" s="3" t="inlineStr">
        <is>
          <t>SALES CYCLE BY PACKAGE</t>
        </is>
      </c>
      <c r="B4" s="4" t="n"/>
      <c r="C4" s="4" t="n"/>
      <c r="D4" s="4" t="n"/>
      <c r="E4" s="4" t="n"/>
      <c r="F4" s="5" t="n"/>
    </row>
    <row r="6">
      <c r="A6" s="6" t="inlineStr">
        <is>
          <t>Metric</t>
        </is>
      </c>
      <c r="B6" s="6" t="inlineStr">
        <is>
          <t>A: Starter</t>
        </is>
      </c>
      <c r="C6" s="6" t="inlineStr">
        <is>
          <t>B: Pro</t>
        </is>
      </c>
      <c r="D6" s="6" t="inlineStr">
        <is>
          <t>C: Enterprise</t>
        </is>
      </c>
      <c r="E6" s="6" t="inlineStr">
        <is>
          <t>D: Platform</t>
        </is>
      </c>
    </row>
    <row r="7">
      <c r="A7" s="7" t="inlineStr">
        <is>
          <t>Sales Cycle (days)</t>
        </is>
      </c>
      <c r="B7" s="23" t="n">
        <v>7</v>
      </c>
      <c r="C7" s="23" t="n">
        <v>30</v>
      </c>
      <c r="D7" s="23" t="n">
        <v>60</v>
      </c>
      <c r="E7" s="23" t="n">
        <v>90</v>
      </c>
    </row>
    <row r="8">
      <c r="A8" s="7" t="inlineStr">
        <is>
          <t>Touches to Close</t>
        </is>
      </c>
      <c r="B8" s="23" t="n">
        <v>3</v>
      </c>
      <c r="C8" s="23" t="n">
        <v>8</v>
      </c>
      <c r="D8" s="23" t="n">
        <v>15</v>
      </c>
      <c r="E8" s="23" t="n">
        <v>25</v>
      </c>
    </row>
    <row r="9">
      <c r="A9" s="7" t="inlineStr">
        <is>
          <t>Demo Required?</t>
        </is>
      </c>
      <c r="B9" s="23" t="inlineStr">
        <is>
          <t>No</t>
        </is>
      </c>
      <c r="C9" s="23" t="inlineStr">
        <is>
          <t>Yes (30 min)</t>
        </is>
      </c>
      <c r="D9" s="23" t="inlineStr">
        <is>
          <t>Yes (60 min)</t>
        </is>
      </c>
      <c r="E9" s="23" t="inlineStr">
        <is>
          <t>Yes (multi)</t>
        </is>
      </c>
    </row>
    <row r="10">
      <c r="A10" s="7" t="inlineStr">
        <is>
          <t>Proposal Required?</t>
        </is>
      </c>
      <c r="B10" s="23" t="inlineStr">
        <is>
          <t>No</t>
        </is>
      </c>
      <c r="C10" s="23" t="inlineStr">
        <is>
          <t>Template</t>
        </is>
      </c>
      <c r="D10" s="23" t="inlineStr">
        <is>
          <t>Custom</t>
        </is>
      </c>
      <c r="E10" s="23" t="inlineStr">
        <is>
          <t>RFP Response</t>
        </is>
      </c>
    </row>
    <row r="11">
      <c r="A11" s="7" t="inlineStr">
        <is>
          <t>Decision Makers</t>
        </is>
      </c>
      <c r="B11" s="23" t="n">
        <v>1</v>
      </c>
      <c r="C11" s="23" t="n">
        <v>1</v>
      </c>
      <c r="D11" s="23" t="n">
        <v>2</v>
      </c>
      <c r="E11" s="23" t="n">
        <v>3</v>
      </c>
    </row>
    <row r="12">
      <c r="A12" s="7" t="inlineStr"/>
      <c r="B12" s="23" t="inlineStr"/>
      <c r="C12" s="23" t="inlineStr"/>
      <c r="D12" s="23" t="inlineStr"/>
      <c r="E12" s="23" t="inlineStr"/>
    </row>
    <row r="13">
      <c r="A13" s="7" t="inlineStr">
        <is>
          <t>Marketing Spend Allocation</t>
        </is>
      </c>
      <c r="B13" s="10" t="n">
        <v>0.5</v>
      </c>
      <c r="C13" s="10" t="n">
        <v>0.25</v>
      </c>
      <c r="D13" s="10" t="n">
        <v>0.15</v>
      </c>
      <c r="E13" s="10" t="n">
        <v>0.1</v>
      </c>
    </row>
    <row r="14">
      <c r="A14" s="7" t="inlineStr">
        <is>
          <t>Monthly Marketing Budget</t>
        </is>
      </c>
      <c r="B14" s="11">
        <f>'Marketing Channels'!B32</f>
        <v/>
      </c>
      <c r="C14" s="23" t="inlineStr"/>
      <c r="D14" s="23" t="inlineStr"/>
      <c r="E14" s="23" t="inlineStr"/>
    </row>
    <row r="15">
      <c r="A15" s="7" t="inlineStr">
        <is>
          <t>Allocated to Package</t>
        </is>
      </c>
      <c r="B15" s="11">
        <f>B13*B14</f>
        <v/>
      </c>
      <c r="C15" s="11">
        <f>C13*B14</f>
        <v/>
      </c>
      <c r="D15" s="11">
        <f>D13*B14</f>
        <v/>
      </c>
      <c r="E15" s="11">
        <f>E13*B14</f>
        <v/>
      </c>
    </row>
    <row r="18">
      <c r="A18" s="3" t="inlineStr">
        <is>
          <t>SALES LABOR COST PER CUSTOMER</t>
        </is>
      </c>
      <c r="B18" s="4" t="n"/>
      <c r="C18" s="4" t="n"/>
      <c r="D18" s="4" t="n"/>
      <c r="E18" s="4" t="n"/>
      <c r="F18" s="5" t="n"/>
    </row>
    <row r="20">
      <c r="A20" s="6" t="inlineStr">
        <is>
          <t>Metric</t>
        </is>
      </c>
      <c r="B20" s="6" t="inlineStr">
        <is>
          <t>A: Starter</t>
        </is>
      </c>
      <c r="C20" s="6" t="inlineStr">
        <is>
          <t>B: Pro</t>
        </is>
      </c>
      <c r="D20" s="6" t="inlineStr">
        <is>
          <t>C: Enterprise</t>
        </is>
      </c>
      <c r="E20" s="6" t="inlineStr">
        <is>
          <t>D: Platform</t>
        </is>
      </c>
    </row>
    <row r="21">
      <c r="A21" s="7" t="inlineStr">
        <is>
          <t>Sales Hours per Customer</t>
        </is>
      </c>
      <c r="B21" s="23" t="n">
        <v>0.5</v>
      </c>
      <c r="C21" s="23" t="n">
        <v>3</v>
      </c>
      <c r="D21" s="23" t="n">
        <v>8</v>
      </c>
      <c r="E21" s="23" t="n">
        <v>20</v>
      </c>
    </row>
    <row r="22">
      <c r="A22" s="7" t="inlineStr">
        <is>
          <t>Sales Hourly Cost (loaded)</t>
        </is>
      </c>
      <c r="B22" s="8" t="n">
        <v>75</v>
      </c>
      <c r="C22" s="8" t="n">
        <v>75</v>
      </c>
      <c r="D22" s="8" t="n">
        <v>75</v>
      </c>
      <c r="E22" s="8" t="n">
        <v>75</v>
      </c>
    </row>
    <row r="23">
      <c r="A23" s="7" t="inlineStr">
        <is>
          <t>Sales Labor per Customer</t>
        </is>
      </c>
      <c r="B23" s="11">
        <f>B21*B22</f>
        <v/>
      </c>
      <c r="C23" s="11">
        <f>C21*C22</f>
        <v/>
      </c>
      <c r="D23" s="11">
        <f>D21*D22</f>
        <v/>
      </c>
      <c r="E23" s="11">
        <f>E21*E22</f>
        <v/>
      </c>
    </row>
    <row r="24">
      <c r="A24" s="7" t="inlineStr"/>
      <c r="B24" s="23" t="inlineStr"/>
      <c r="C24" s="23" t="inlineStr"/>
      <c r="D24" s="23" t="inlineStr"/>
      <c r="E24" s="23" t="inlineStr"/>
    </row>
    <row r="25">
      <c r="A25" s="7" t="inlineStr">
        <is>
          <t>Customers from Marketing</t>
        </is>
      </c>
      <c r="B25" s="23" t="n">
        <v>8</v>
      </c>
      <c r="C25" s="23" t="n">
        <v>3</v>
      </c>
      <c r="D25" s="23" t="n">
        <v>1.5</v>
      </c>
      <c r="E25" s="23" t="n">
        <v>0.5</v>
      </c>
    </row>
    <row r="26">
      <c r="A26" s="7" t="inlineStr">
        <is>
          <t>Marketing CAC (allocated)</t>
        </is>
      </c>
      <c r="B26" s="11">
        <f>B15/B25</f>
        <v/>
      </c>
      <c r="C26" s="11">
        <f>C15/C25</f>
        <v/>
      </c>
      <c r="D26" s="11">
        <f>D15/D25</f>
        <v/>
      </c>
      <c r="E26" s="11">
        <f>E15/E25</f>
        <v/>
      </c>
    </row>
    <row r="27">
      <c r="A27" s="7" t="inlineStr"/>
      <c r="B27" s="23" t="inlineStr"/>
      <c r="C27" s="23" t="inlineStr"/>
      <c r="D27" s="23" t="inlineStr"/>
      <c r="E27" s="23" t="inlineStr"/>
    </row>
    <row r="28">
      <c r="A28" s="24" t="inlineStr">
        <is>
          <t>TOTAL CAC</t>
        </is>
      </c>
      <c r="B28" s="19">
        <f>B23+B26</f>
        <v/>
      </c>
      <c r="C28" s="19">
        <f>C23+C26</f>
        <v/>
      </c>
      <c r="D28" s="19">
        <f>D23+D26</f>
        <v/>
      </c>
      <c r="E28" s="19">
        <f>E23+E26</f>
        <v/>
      </c>
    </row>
    <row r="31">
      <c r="A31" s="3" t="inlineStr">
        <is>
          <t>LTV:CAC ANALYSIS</t>
        </is>
      </c>
      <c r="B31" s="4" t="n"/>
      <c r="C31" s="4" t="n"/>
      <c r="D31" s="4" t="n"/>
      <c r="E31" s="4" t="n"/>
      <c r="F31" s="5" t="n"/>
    </row>
    <row r="33">
      <c r="A33" s="6" t="inlineStr">
        <is>
          <t>Metric</t>
        </is>
      </c>
      <c r="B33" s="6" t="inlineStr">
        <is>
          <t>A: Starter</t>
        </is>
      </c>
      <c r="C33" s="6" t="inlineStr">
        <is>
          <t>B: Pro</t>
        </is>
      </c>
      <c r="D33" s="6" t="inlineStr">
        <is>
          <t>C: Enterprise</t>
        </is>
      </c>
      <c r="E33" s="6" t="inlineStr">
        <is>
          <t>D: Platform</t>
        </is>
      </c>
    </row>
    <row r="34">
      <c r="A34" s="7" t="inlineStr">
        <is>
          <t>Monthly Revenue</t>
        </is>
      </c>
      <c r="B34" s="8" t="n">
        <v>124</v>
      </c>
      <c r="C34" s="8" t="n">
        <v>3125</v>
      </c>
      <c r="D34" s="8" t="n">
        <v>12500</v>
      </c>
      <c r="E34" s="8" t="n">
        <v>37500</v>
      </c>
    </row>
    <row r="35">
      <c r="A35" s="7" t="inlineStr">
        <is>
          <t>Monthly Gross Profit</t>
        </is>
      </c>
      <c r="B35" s="8" t="n">
        <v>97</v>
      </c>
      <c r="C35" s="8" t="n">
        <v>2625</v>
      </c>
      <c r="D35" s="8" t="n">
        <v>10250</v>
      </c>
      <c r="E35" s="8" t="n">
        <v>28875</v>
      </c>
    </row>
    <row r="36">
      <c r="A36" s="7" t="inlineStr">
        <is>
          <t>Avg Customer Life (months)</t>
        </is>
      </c>
      <c r="B36" s="23" t="n">
        <v>12</v>
      </c>
      <c r="C36" s="23" t="n">
        <v>18</v>
      </c>
      <c r="D36" s="23" t="n">
        <v>24</v>
      </c>
      <c r="E36" s="23" t="n">
        <v>36</v>
      </c>
    </row>
    <row r="37">
      <c r="A37" s="7" t="inlineStr">
        <is>
          <t>Lifetime Value (LTV)</t>
        </is>
      </c>
      <c r="B37" s="11">
        <f>B35*B36</f>
        <v/>
      </c>
      <c r="C37" s="11">
        <f>C35*C36</f>
        <v/>
      </c>
      <c r="D37" s="11">
        <f>D35*D36</f>
        <v/>
      </c>
      <c r="E37" s="11">
        <f>E35*E36</f>
        <v/>
      </c>
    </row>
    <row r="38">
      <c r="A38" s="7" t="inlineStr"/>
      <c r="B38" s="23" t="inlineStr"/>
      <c r="C38" s="23" t="inlineStr"/>
      <c r="D38" s="23" t="inlineStr"/>
      <c r="E38" s="23" t="inlineStr"/>
    </row>
    <row r="39">
      <c r="A39" s="7" t="inlineStr">
        <is>
          <t>CAC (from above)</t>
        </is>
      </c>
      <c r="B39" s="11">
        <f>B28</f>
        <v/>
      </c>
      <c r="C39" s="11">
        <f>C28</f>
        <v/>
      </c>
      <c r="D39" s="11">
        <f>D28</f>
        <v/>
      </c>
      <c r="E39" s="11">
        <f>E28</f>
        <v/>
      </c>
    </row>
    <row r="40">
      <c r="A40" s="24" t="inlineStr">
        <is>
          <t>LTV:CAC Ratio</t>
        </is>
      </c>
      <c r="B40" s="25">
        <f>B37/B39</f>
        <v/>
      </c>
      <c r="C40" s="25">
        <f>C37/C39</f>
        <v/>
      </c>
      <c r="D40" s="25">
        <f>D37/D39</f>
        <v/>
      </c>
      <c r="E40" s="25">
        <f>E37/E39</f>
        <v/>
      </c>
    </row>
    <row r="41">
      <c r="A41" s="7" t="inlineStr">
        <is>
          <t>CAC Payback (months)</t>
        </is>
      </c>
      <c r="B41" s="9">
        <f>B39/B35</f>
        <v/>
      </c>
      <c r="C41" s="9">
        <f>C39/C35</f>
        <v/>
      </c>
      <c r="D41" s="9">
        <f>D39/D35</f>
        <v/>
      </c>
      <c r="E41" s="9">
        <f>E39/E35</f>
        <v/>
      </c>
    </row>
    <row r="42">
      <c r="A42" s="7" t="inlineStr"/>
      <c r="B42" s="23" t="inlineStr"/>
      <c r="C42" s="23" t="inlineStr"/>
      <c r="D42" s="23" t="inlineStr"/>
      <c r="E42" s="23" t="inlineStr"/>
    </row>
    <row r="43">
      <c r="A43" s="7" t="inlineStr">
        <is>
          <t>Target LTV:CAC</t>
        </is>
      </c>
      <c r="B43" s="23" t="inlineStr">
        <is>
          <t>3:1</t>
        </is>
      </c>
      <c r="C43" s="23" t="inlineStr">
        <is>
          <t>3:1</t>
        </is>
      </c>
      <c r="D43" s="23" t="inlineStr">
        <is>
          <t>3:1</t>
        </is>
      </c>
      <c r="E43" s="23" t="inlineStr">
        <is>
          <t>3:1</t>
        </is>
      </c>
    </row>
    <row r="44">
      <c r="A44" s="24" t="inlineStr">
        <is>
          <t>Status</t>
        </is>
      </c>
      <c r="B44" s="26">
        <f>IF(B40&gt;=3,"✓ Good","⚠ Review")</f>
        <v/>
      </c>
      <c r="C44" s="26">
        <f>IF(C40&gt;=3,"✓ Good","⚠ Review")</f>
        <v/>
      </c>
      <c r="D44" s="26">
        <f>IF(D40&gt;=3,"✓ Good","⚠ Review")</f>
        <v/>
      </c>
      <c r="E44" s="26">
        <f>IF(E40&gt;=3,"✓ Good","⚠ Review")</f>
        <v/>
      </c>
    </row>
  </sheetData>
  <mergeCells count="3">
    <mergeCell ref="A31:F31"/>
    <mergeCell ref="A18:F18"/>
    <mergeCell ref="A4:F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</cols>
  <sheetData>
    <row r="1">
      <c r="A1" s="1" t="inlineStr">
        <is>
          <t>TRUE PROFITABILITY (INCLUDING ALL MARKETING)</t>
        </is>
      </c>
    </row>
    <row r="2">
      <c r="A2" s="2" t="inlineStr">
        <is>
          <t>Unit economics with fully-loaded CAC</t>
        </is>
      </c>
    </row>
    <row r="4">
      <c r="A4" s="3" t="inlineStr">
        <is>
          <t>MONTHLY UNIT ECONOMICS</t>
        </is>
      </c>
      <c r="B4" s="4" t="n"/>
      <c r="C4" s="4" t="n"/>
      <c r="D4" s="4" t="n"/>
      <c r="E4" s="4" t="n"/>
      <c r="F4" s="5" t="n"/>
    </row>
    <row r="6">
      <c r="A6" s="6" t="inlineStr">
        <is>
          <t>Metric</t>
        </is>
      </c>
      <c r="B6" s="6" t="inlineStr">
        <is>
          <t>A: Starter</t>
        </is>
      </c>
      <c r="C6" s="6" t="inlineStr">
        <is>
          <t>B: Pro</t>
        </is>
      </c>
      <c r="D6" s="6" t="inlineStr">
        <is>
          <t>C: Enterprise</t>
        </is>
      </c>
      <c r="E6" s="6" t="inlineStr">
        <is>
          <t>D: Platform</t>
        </is>
      </c>
    </row>
    <row r="7">
      <c r="A7" s="7" t="inlineStr">
        <is>
          <t>Monthly Revenue</t>
        </is>
      </c>
      <c r="B7" s="8" t="n">
        <v>124</v>
      </c>
      <c r="C7" s="8" t="n">
        <v>3125</v>
      </c>
      <c r="D7" s="8" t="n">
        <v>12500</v>
      </c>
      <c r="E7" s="8" t="n">
        <v>37500</v>
      </c>
    </row>
    <row r="8">
      <c r="A8" s="7" t="inlineStr"/>
      <c r="B8" s="23" t="inlineStr"/>
      <c r="C8" s="23" t="inlineStr"/>
      <c r="D8" s="23" t="inlineStr"/>
      <c r="E8" s="23" t="inlineStr"/>
    </row>
    <row r="9">
      <c r="A9" s="7" t="inlineStr">
        <is>
          <t>Direct Costs:</t>
        </is>
      </c>
      <c r="B9" s="23" t="inlineStr"/>
      <c r="C9" s="23" t="inlineStr"/>
      <c r="D9" s="23" t="inlineStr"/>
      <c r="E9" s="23" t="inlineStr"/>
    </row>
    <row r="10">
      <c r="A10" s="7" t="inlineStr">
        <is>
          <t xml:space="preserve">  Infrastructure</t>
        </is>
      </c>
      <c r="B10" s="8" t="n">
        <v>8</v>
      </c>
      <c r="C10" s="8" t="n">
        <v>75</v>
      </c>
      <c r="D10" s="8" t="n">
        <v>250</v>
      </c>
      <c r="E10" s="8" t="n">
        <v>600</v>
      </c>
    </row>
    <row r="11">
      <c r="A11" s="7" t="inlineStr">
        <is>
          <t xml:space="preserve">  Stripe (2.9%)</t>
        </is>
      </c>
      <c r="B11" s="11">
        <f>B7*0.029</f>
        <v/>
      </c>
      <c r="C11" s="11">
        <f>C7*0.029</f>
        <v/>
      </c>
      <c r="D11" s="11">
        <f>D7*0.029</f>
        <v/>
      </c>
      <c r="E11" s="11">
        <f>E7*0.029</f>
        <v/>
      </c>
    </row>
    <row r="12">
      <c r="A12" s="7" t="inlineStr">
        <is>
          <t xml:space="preserve">  Labor/Support</t>
        </is>
      </c>
      <c r="B12" s="8" t="n">
        <v>5</v>
      </c>
      <c r="C12" s="8" t="n">
        <v>50</v>
      </c>
      <c r="D12" s="8" t="n">
        <v>200</v>
      </c>
      <c r="E12" s="8" t="n">
        <v>500</v>
      </c>
    </row>
    <row r="13">
      <c r="A13" s="7" t="inlineStr">
        <is>
          <t xml:space="preserve">  Onboarding (amortized)</t>
        </is>
      </c>
      <c r="B13" s="8" t="n">
        <v>0</v>
      </c>
      <c r="C13" s="8" t="n">
        <v>42</v>
      </c>
      <c r="D13" s="8" t="n">
        <v>167</v>
      </c>
      <c r="E13" s="8" t="n">
        <v>833</v>
      </c>
    </row>
    <row r="14">
      <c r="A14" s="7" t="inlineStr">
        <is>
          <t>Total Direct Costs</t>
        </is>
      </c>
      <c r="B14" s="11">
        <f>SUM(B10:B13)</f>
        <v/>
      </c>
      <c r="C14" s="11">
        <f>SUM(C10:C13)</f>
        <v/>
      </c>
      <c r="D14" s="11">
        <f>SUM(D10:D13)</f>
        <v/>
      </c>
      <c r="E14" s="11">
        <f>SUM(E10:E13)</f>
        <v/>
      </c>
    </row>
    <row r="15">
      <c r="A15" s="7" t="inlineStr"/>
      <c r="B15" s="23" t="inlineStr"/>
      <c r="C15" s="23" t="inlineStr"/>
      <c r="D15" s="23" t="inlineStr"/>
      <c r="E15" s="23" t="inlineStr"/>
    </row>
    <row r="16">
      <c r="A16" s="24" t="inlineStr">
        <is>
          <t>Gross Profit</t>
        </is>
      </c>
      <c r="B16" s="11">
        <f>B7-B14</f>
        <v/>
      </c>
      <c r="C16" s="11">
        <f>C7-C14</f>
        <v/>
      </c>
      <c r="D16" s="11">
        <f>D7-D14</f>
        <v/>
      </c>
      <c r="E16" s="11">
        <f>E7-E14</f>
        <v/>
      </c>
    </row>
    <row r="17">
      <c r="A17" s="7" t="inlineStr">
        <is>
          <t>Gross Margin %</t>
        </is>
      </c>
      <c r="B17" s="27">
        <f>B16/B7</f>
        <v/>
      </c>
      <c r="C17" s="27">
        <f>C16/C7</f>
        <v/>
      </c>
      <c r="D17" s="27">
        <f>D16/D7</f>
        <v/>
      </c>
      <c r="E17" s="27">
        <f>E16/E7</f>
        <v/>
      </c>
    </row>
    <row r="18">
      <c r="A18" s="7" t="inlineStr"/>
      <c r="B18" s="23" t="inlineStr"/>
      <c r="C18" s="23" t="inlineStr"/>
      <c r="D18" s="23" t="inlineStr"/>
      <c r="E18" s="23" t="inlineStr"/>
    </row>
    <row r="19">
      <c r="A19" s="7" t="inlineStr">
        <is>
          <t>CAC (amortized monthly):</t>
        </is>
      </c>
      <c r="B19" s="23" t="inlineStr"/>
      <c r="C19" s="23" t="inlineStr"/>
      <c r="D19" s="23" t="inlineStr"/>
      <c r="E19" s="23" t="inlineStr"/>
    </row>
    <row r="20">
      <c r="A20" s="7" t="inlineStr">
        <is>
          <t xml:space="preserve">  Total CAC</t>
        </is>
      </c>
      <c r="B20" s="11">
        <f>'CAC by Package'!B28</f>
        <v/>
      </c>
      <c r="C20" s="11">
        <f>'CAC by Package'!C28</f>
        <v/>
      </c>
      <c r="D20" s="11">
        <f>'CAC by Package'!D28</f>
        <v/>
      </c>
      <c r="E20" s="11">
        <f>'CAC by Package'!E28</f>
        <v/>
      </c>
    </row>
    <row r="21">
      <c r="A21" s="7" t="inlineStr">
        <is>
          <t xml:space="preserve">  Customer Life (months)</t>
        </is>
      </c>
      <c r="B21" s="23" t="n">
        <v>12</v>
      </c>
      <c r="C21" s="23" t="n">
        <v>18</v>
      </c>
      <c r="D21" s="23" t="n">
        <v>24</v>
      </c>
      <c r="E21" s="23" t="n">
        <v>36</v>
      </c>
    </row>
    <row r="22">
      <c r="A22" s="7" t="inlineStr">
        <is>
          <t xml:space="preserve">  Monthly CAC Amortization</t>
        </is>
      </c>
      <c r="B22" s="11">
        <f>B20/B21</f>
        <v/>
      </c>
      <c r="C22" s="11">
        <f>C20/C21</f>
        <v/>
      </c>
      <c r="D22" s="11">
        <f>D20/D21</f>
        <v/>
      </c>
      <c r="E22" s="11">
        <f>E20/E21</f>
        <v/>
      </c>
    </row>
    <row r="23">
      <c r="A23" s="7" t="inlineStr"/>
      <c r="B23" s="23" t="inlineStr"/>
      <c r="C23" s="23" t="inlineStr"/>
      <c r="D23" s="23" t="inlineStr"/>
      <c r="E23" s="23" t="inlineStr"/>
    </row>
    <row r="24">
      <c r="A24" s="24" t="inlineStr">
        <is>
          <t>Contribution Margin</t>
        </is>
      </c>
      <c r="B24" s="11">
        <f>B16-B22</f>
        <v/>
      </c>
      <c r="C24" s="11">
        <f>C16-C22</f>
        <v/>
      </c>
      <c r="D24" s="11">
        <f>D16-D22</f>
        <v/>
      </c>
      <c r="E24" s="11">
        <f>E16-E22</f>
        <v/>
      </c>
    </row>
    <row r="25">
      <c r="A25" s="7" t="inlineStr">
        <is>
          <t>Contribution Margin %</t>
        </is>
      </c>
      <c r="B25" s="27">
        <f>B24/B7</f>
        <v/>
      </c>
      <c r="C25" s="27">
        <f>C24/C7</f>
        <v/>
      </c>
      <c r="D25" s="27">
        <f>D24/D7</f>
        <v/>
      </c>
      <c r="E25" s="27">
        <f>E24/E7</f>
        <v/>
      </c>
    </row>
    <row r="26">
      <c r="A26" s="7" t="inlineStr"/>
      <c r="B26" s="23" t="inlineStr"/>
      <c r="C26" s="23" t="inlineStr"/>
      <c r="D26" s="23" t="inlineStr"/>
      <c r="E26" s="23" t="inlineStr"/>
    </row>
    <row r="27">
      <c r="A27" s="7" t="inlineStr">
        <is>
          <t>Allocated Overhead (10%)</t>
        </is>
      </c>
      <c r="B27" s="11">
        <f>B7*0.10</f>
        <v/>
      </c>
      <c r="C27" s="11">
        <f>C7*0.10</f>
        <v/>
      </c>
      <c r="D27" s="11">
        <f>D7*0.10</f>
        <v/>
      </c>
      <c r="E27" s="11">
        <f>E7*0.10</f>
        <v/>
      </c>
    </row>
    <row r="28">
      <c r="A28" s="7" t="inlineStr"/>
      <c r="B28" s="23" t="inlineStr"/>
      <c r="C28" s="23" t="inlineStr"/>
      <c r="D28" s="23" t="inlineStr"/>
      <c r="E28" s="23" t="inlineStr"/>
    </row>
    <row r="29">
      <c r="A29" s="24" t="inlineStr">
        <is>
          <t>TRUE NET PROFIT</t>
        </is>
      </c>
      <c r="B29" s="28">
        <f>B24-B27</f>
        <v/>
      </c>
      <c r="C29" s="28">
        <f>C24-C27</f>
        <v/>
      </c>
      <c r="D29" s="28">
        <f>D24-D27</f>
        <v/>
      </c>
      <c r="E29" s="28">
        <f>E24-E27</f>
        <v/>
      </c>
    </row>
    <row r="30">
      <c r="A30" s="24" t="inlineStr">
        <is>
          <t>TRUE NET MARGIN %</t>
        </is>
      </c>
      <c r="B30" s="29">
        <f>B29/B7</f>
        <v/>
      </c>
      <c r="C30" s="29">
        <f>C29/C7</f>
        <v/>
      </c>
      <c r="D30" s="29">
        <f>D29/D7</f>
        <v/>
      </c>
      <c r="E30" s="29">
        <f>E29/E7</f>
        <v/>
      </c>
    </row>
  </sheetData>
  <mergeCells count="1">
    <mergeCell ref="A4:F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</cols>
  <sheetData>
    <row r="1">
      <c r="A1" s="1" t="inlineStr">
        <is>
          <t>BLENDED PORTFOLIO ECONOMICS</t>
        </is>
      </c>
    </row>
    <row r="2">
      <c r="A2" s="2" t="inlineStr">
        <is>
          <t>Total business P&amp;L including all marketing spend</t>
        </is>
      </c>
    </row>
    <row r="4">
      <c r="A4" s="3" t="inlineStr">
        <is>
          <t>CUSTOMER MIX</t>
        </is>
      </c>
      <c r="B4" s="4" t="n"/>
      <c r="C4" s="4" t="n"/>
      <c r="D4" s="4" t="n"/>
      <c r="E4" s="4" t="n"/>
      <c r="F4" s="4" t="n"/>
      <c r="G4" s="5" t="n"/>
    </row>
    <row r="6">
      <c r="A6" s="6" t="inlineStr"/>
      <c r="B6" s="6" t="inlineStr">
        <is>
          <t>A: Starter</t>
        </is>
      </c>
      <c r="C6" s="6" t="inlineStr">
        <is>
          <t>B: Pro</t>
        </is>
      </c>
      <c r="D6" s="6" t="inlineStr">
        <is>
          <t>C: Enterprise</t>
        </is>
      </c>
      <c r="E6" s="6" t="inlineStr">
        <is>
          <t>D: Platform</t>
        </is>
      </c>
      <c r="F6" s="6" t="inlineStr">
        <is>
          <t>Total</t>
        </is>
      </c>
      <c r="G6" s="6" t="inlineStr"/>
    </row>
    <row r="7">
      <c r="A7" s="7" t="inlineStr">
        <is>
          <t>Active Customers</t>
        </is>
      </c>
      <c r="B7" s="23" t="n">
        <v>100</v>
      </c>
      <c r="C7" s="23" t="n">
        <v>30</v>
      </c>
      <c r="D7" s="23" t="n">
        <v>8</v>
      </c>
      <c r="E7" s="23" t="n">
        <v>2</v>
      </c>
      <c r="F7" s="26">
        <f>SUM(B7:E7)</f>
        <v/>
      </c>
    </row>
    <row r="10">
      <c r="A10" s="3" t="inlineStr">
        <is>
          <t>MONTHLY P&amp;L</t>
        </is>
      </c>
      <c r="B10" s="4" t="n"/>
      <c r="C10" s="4" t="n"/>
      <c r="D10" s="4" t="n"/>
      <c r="E10" s="4" t="n"/>
      <c r="F10" s="4" t="n"/>
      <c r="G10" s="5" t="n"/>
    </row>
    <row r="12">
      <c r="A12" s="6" t="inlineStr"/>
      <c r="B12" s="6" t="inlineStr">
        <is>
          <t>A: Starter</t>
        </is>
      </c>
      <c r="C12" s="6" t="inlineStr">
        <is>
          <t>B: Pro</t>
        </is>
      </c>
      <c r="D12" s="6" t="inlineStr">
        <is>
          <t>C: Enterprise</t>
        </is>
      </c>
      <c r="E12" s="6" t="inlineStr">
        <is>
          <t>D: Platform</t>
        </is>
      </c>
      <c r="F12" s="6" t="inlineStr">
        <is>
          <t>Total</t>
        </is>
      </c>
      <c r="G12" s="6" t="inlineStr"/>
    </row>
    <row r="13">
      <c r="A13" s="7" t="inlineStr">
        <is>
          <t>Revenue</t>
        </is>
      </c>
      <c r="B13" s="11">
        <f>B7*124</f>
        <v/>
      </c>
      <c r="C13" s="11">
        <f>C7*3125</f>
        <v/>
      </c>
      <c r="D13" s="11">
        <f>D7*12500</f>
        <v/>
      </c>
      <c r="E13" s="11">
        <f>E7*37500</f>
        <v/>
      </c>
      <c r="F13" s="11">
        <f>SUM(B13:E13)</f>
        <v/>
      </c>
    </row>
    <row r="14">
      <c r="A14" s="7" t="inlineStr"/>
    </row>
    <row r="15">
      <c r="A15" s="7" t="inlineStr">
        <is>
          <t>Direct Costs</t>
        </is>
      </c>
      <c r="B15" s="11">
        <f>B7*17</f>
        <v/>
      </c>
      <c r="C15" s="11">
        <f>C7*258</f>
        <v/>
      </c>
      <c r="D15" s="11">
        <f>D7*980</f>
        <v/>
      </c>
      <c r="E15" s="11">
        <f>E7*3021</f>
        <v/>
      </c>
      <c r="F15" s="11">
        <f>SUM(B15:E15)</f>
        <v/>
      </c>
    </row>
    <row r="16">
      <c r="A16" s="7" t="inlineStr">
        <is>
          <t>Gross Profit</t>
        </is>
      </c>
      <c r="B16" s="11">
        <f>B13-B15</f>
        <v/>
      </c>
      <c r="C16" s="11">
        <f>C13-C15</f>
        <v/>
      </c>
      <c r="D16" s="11">
        <f>D13-D15</f>
        <v/>
      </c>
      <c r="E16" s="11">
        <f>E13-E15</f>
        <v/>
      </c>
      <c r="F16" s="11">
        <f>SUM(B16:E16)</f>
        <v/>
      </c>
    </row>
    <row r="17">
      <c r="A17" s="7" t="inlineStr">
        <is>
          <t>Gross Margin %</t>
        </is>
      </c>
      <c r="B17" s="27">
        <f>B16/B13</f>
        <v/>
      </c>
      <c r="C17" s="27">
        <f>C16/C13</f>
        <v/>
      </c>
      <c r="D17" s="27">
        <f>D16/D13</f>
        <v/>
      </c>
      <c r="E17" s="27">
        <f>E16/E13</f>
        <v/>
      </c>
      <c r="F17" s="27">
        <f>F16/F13</f>
        <v/>
      </c>
    </row>
    <row r="18">
      <c r="A18" s="7" t="inlineStr"/>
    </row>
    <row r="19">
      <c r="A19" s="24" t="inlineStr">
        <is>
          <t>MARKETING SPEND</t>
        </is>
      </c>
      <c r="B19" s="30" t="n"/>
      <c r="C19" s="30" t="n"/>
      <c r="D19" s="30" t="n"/>
      <c r="E19" s="30" t="n"/>
      <c r="F19" s="11">
        <f>'Marketing Channels'!B32</f>
        <v/>
      </c>
    </row>
    <row r="20">
      <c r="A20" s="7" t="inlineStr">
        <is>
          <t>New Customers this Month</t>
        </is>
      </c>
      <c r="B20" s="23" t="n">
        <v>8</v>
      </c>
      <c r="C20" s="23" t="n">
        <v>3</v>
      </c>
      <c r="D20" s="23" t="n">
        <v>1.5</v>
      </c>
      <c r="E20" s="23" t="n">
        <v>0.5</v>
      </c>
      <c r="F20" s="26">
        <f>SUM(B20:E20)</f>
        <v/>
      </c>
    </row>
    <row r="21">
      <c r="A21" s="7" t="inlineStr"/>
    </row>
    <row r="22">
      <c r="A22" s="7" t="inlineStr">
        <is>
          <t>Overhead (fixed)</t>
        </is>
      </c>
      <c r="B22" s="30" t="n"/>
      <c r="C22" s="30" t="n"/>
      <c r="D22" s="30" t="n"/>
      <c r="E22" s="30" t="n"/>
      <c r="F22" s="8" t="n">
        <v>14500</v>
      </c>
    </row>
    <row r="23">
      <c r="A23" s="7" t="inlineStr"/>
    </row>
    <row r="24">
      <c r="A24" s="24" t="inlineStr">
        <is>
          <t>OPERATING PROFIT</t>
        </is>
      </c>
      <c r="B24" s="30" t="n"/>
      <c r="C24" s="30" t="n"/>
      <c r="D24" s="30" t="n"/>
      <c r="E24" s="30" t="n"/>
      <c r="F24" s="31">
        <f>F16-F19-F22</f>
        <v/>
      </c>
    </row>
    <row r="25">
      <c r="A25" s="7" t="inlineStr">
        <is>
          <t>Operating Margin %</t>
        </is>
      </c>
      <c r="B25" s="32" t="n"/>
      <c r="C25" s="32" t="n"/>
      <c r="D25" s="32" t="n"/>
      <c r="E25" s="32" t="n"/>
      <c r="F25" s="27">
        <f>F24/F13</f>
        <v/>
      </c>
    </row>
    <row r="26">
      <c r="A26" s="7" t="inlineStr"/>
    </row>
    <row r="27">
      <c r="A27" s="7" t="inlineStr">
        <is>
          <t>Annual Revenue</t>
        </is>
      </c>
      <c r="B27" s="30" t="n"/>
      <c r="C27" s="30" t="n"/>
      <c r="D27" s="30" t="n"/>
      <c r="E27" s="30" t="n"/>
      <c r="F27" s="11">
        <f>F13*12</f>
        <v/>
      </c>
    </row>
    <row r="28">
      <c r="A28" s="7" t="inlineStr">
        <is>
          <t>Annual Marketing</t>
        </is>
      </c>
      <c r="B28" s="30" t="n"/>
      <c r="C28" s="30" t="n"/>
      <c r="D28" s="30" t="n"/>
      <c r="E28" s="30" t="n"/>
      <c r="F28" s="11">
        <f>F19*12</f>
        <v/>
      </c>
    </row>
    <row r="29">
      <c r="A29" s="7" t="inlineStr">
        <is>
          <t>Annual Operating Profit</t>
        </is>
      </c>
      <c r="B29" s="30" t="n"/>
      <c r="C29" s="30" t="n"/>
      <c r="D29" s="30" t="n"/>
      <c r="E29" s="30" t="n"/>
      <c r="F29" s="28">
        <f>F24*12</f>
        <v/>
      </c>
    </row>
    <row r="32">
      <c r="A32" s="3" t="inlineStr">
        <is>
          <t>KEY PERFORMANCE METRICS</t>
        </is>
      </c>
      <c r="B32" s="4" t="n"/>
      <c r="C32" s="4" t="n"/>
      <c r="D32" s="4" t="n"/>
      <c r="E32" s="4" t="n"/>
      <c r="F32" s="4" t="n"/>
      <c r="G32" s="5" t="n"/>
    </row>
    <row r="34">
      <c r="A34" s="7" t="inlineStr">
        <is>
          <t>Blended CAC</t>
        </is>
      </c>
      <c r="B34" s="11">
        <f>F19/F20</f>
        <v/>
      </c>
      <c r="C34" s="33" t="inlineStr">
        <is>
          <t>Target: &lt;$800</t>
        </is>
      </c>
    </row>
    <row r="35">
      <c r="A35" s="7" t="inlineStr">
        <is>
          <t>Blended LTV</t>
        </is>
      </c>
      <c r="B35" s="11">
        <f>(B7*1164+C7*47250+D7*246000+E7*1039500)/F7</f>
        <v/>
      </c>
      <c r="C35" s="33" t="inlineStr"/>
    </row>
    <row r="36">
      <c r="A36" s="7" t="inlineStr">
        <is>
          <t>LTV:CAC Ratio</t>
        </is>
      </c>
      <c r="B36" s="9">
        <f>B35/B34</f>
        <v/>
      </c>
      <c r="C36" s="33" t="inlineStr">
        <is>
          <t>Target: &gt;3:1</t>
        </is>
      </c>
    </row>
    <row r="37">
      <c r="A37" s="7" t="inlineStr">
        <is>
          <t>CAC Payback (months)</t>
        </is>
      </c>
      <c r="B37" s="9">
        <f>B34/(F16/F7)</f>
        <v/>
      </c>
      <c r="C37" s="33" t="inlineStr">
        <is>
          <t>Target: &lt;12 months</t>
        </is>
      </c>
    </row>
    <row r="38">
      <c r="A38" s="7" t="inlineStr">
        <is>
          <t>Marketing as % of Revenue</t>
        </is>
      </c>
      <c r="B38" s="27">
        <f>F19/F13</f>
        <v/>
      </c>
      <c r="C38" s="33" t="inlineStr">
        <is>
          <t>Target: &lt;15%</t>
        </is>
      </c>
    </row>
    <row r="39">
      <c r="A39" s="7" t="inlineStr">
        <is>
          <t>Customer Acquisition Rate</t>
        </is>
      </c>
      <c r="B39" s="9">
        <f>F20</f>
        <v/>
      </c>
      <c r="C39" s="33" t="inlineStr">
        <is>
          <t>New customers/month</t>
        </is>
      </c>
    </row>
    <row r="40">
      <c r="A40" s="7" t="inlineStr">
        <is>
          <t>Revenue per Customer</t>
        </is>
      </c>
      <c r="B40" s="11">
        <f>F13/F7</f>
        <v/>
      </c>
      <c r="C40" s="33" t="inlineStr"/>
    </row>
    <row r="41">
      <c r="A41" s="7" t="inlineStr">
        <is>
          <t>Profit per Customer</t>
        </is>
      </c>
      <c r="B41" s="11">
        <f>F24/F7</f>
        <v/>
      </c>
      <c r="C41" s="33" t="inlineStr"/>
    </row>
  </sheetData>
  <mergeCells count="3">
    <mergeCell ref="A32:G32"/>
    <mergeCell ref="A10:G10"/>
    <mergeCell ref="A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2026-01-28T05:58:19Z</dcterms:created>
  <dcterms:modified xmlns:dcterms="http://purl.org/dc/terms/" xmlns:xsi="http://www.w3.org/2001/XMLSchema-instance" xsi:type="dcterms:W3CDTF">2026-01-28T05:58:19Z</dcterms:modified>
</cp:coreProperties>
</file>