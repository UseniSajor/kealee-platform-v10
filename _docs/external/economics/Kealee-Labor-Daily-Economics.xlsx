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or Rates" sheetId="1" state="visible" r:id="rId1"/>
    <sheet xmlns:r="http://schemas.openxmlformats.org/officeDocument/2006/relationships" name="Task Pricing" sheetId="2" state="visible" r:id="rId2"/>
    <sheet xmlns:r="http://schemas.openxmlformats.org/officeDocument/2006/relationships" name="100 Jobs Model" sheetId="3" state="visible" r:id="rId3"/>
    <sheet xmlns:r="http://schemas.openxmlformats.org/officeDocument/2006/relationships" name="Daily Econom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%"/>
    <numFmt numFmtId="166" formatCode="0.0"/>
    <numFmt numFmtId="167" formatCode="$#,##0"/>
  </numFmts>
  <fonts count="12">
    <font>
      <name val="Calibri"/>
      <family val="2"/>
      <color theme="1"/>
      <sz val="11"/>
      <scheme val="minor"/>
    </font>
    <font>
      <b val="1"/>
      <color rgb="001E3A5F"/>
      <sz val="16"/>
    </font>
    <font>
      <b val="1"/>
      <color rgb="001E3A5F"/>
    </font>
    <font>
      <b val="1"/>
      <color rgb="00FFFFFF"/>
    </font>
    <font/>
    <font>
      <color rgb="000000FF"/>
    </font>
    <font>
      <color rgb="00000000"/>
    </font>
    <font>
      <i val="1"/>
      <color rgb="00666666"/>
      <sz val="10"/>
    </font>
    <font>
      <b val="1"/>
    </font>
    <font>
      <i val="1"/>
      <sz val="12"/>
    </font>
    <font>
      <i val="1"/>
      <color rgb="00666666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E8F4F8"/>
      </patternFill>
    </fill>
    <fill>
      <patternFill patternType="solid">
        <fgColor rgb="001E3A5F"/>
      </patternFill>
    </fill>
    <fill>
      <patternFill patternType="solid">
        <fgColor rgb="00FFE6E6"/>
      </patternFill>
    </fill>
    <fill>
      <patternFill patternType="solid">
        <fgColor rgb="00D5E8D4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5" fillId="0" borderId="1" applyAlignment="1" pivotButton="0" quotePrefix="0" xfId="0">
      <alignment horizontal="right"/>
    </xf>
    <xf numFmtId="9" fontId="5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0" fontId="7" fillId="0" borderId="0" pivotButton="0" quotePrefix="0" xfId="0"/>
    <xf numFmtId="165" fontId="5" fillId="0" borderId="1" applyAlignment="1" pivotButton="0" quotePrefix="0" xfId="0">
      <alignment horizontal="right"/>
    </xf>
    <xf numFmtId="0" fontId="8" fillId="0" borderId="1" pivotButton="0" quotePrefix="0" xfId="0"/>
    <xf numFmtId="165" fontId="6" fillId="0" borderId="1" applyAlignment="1" pivotButton="0" quotePrefix="0" xfId="0">
      <alignment horizontal="right"/>
    </xf>
    <xf numFmtId="166" fontId="5" fillId="0" borderId="1" applyAlignment="1" pivotButton="0" quotePrefix="0" xfId="0">
      <alignment horizontal="right"/>
    </xf>
    <xf numFmtId="167" fontId="5" fillId="0" borderId="1" applyAlignment="1" pivotButton="0" quotePrefix="0" xfId="0">
      <alignment horizontal="right"/>
    </xf>
    <xf numFmtId="0" fontId="9" fillId="0" borderId="0" pivotButton="0" quotePrefix="0" xfId="0"/>
    <xf numFmtId="0" fontId="10" fillId="0" borderId="0" pivotButton="0" quotePrefix="0" xfId="0"/>
    <xf numFmtId="0" fontId="5" fillId="0" borderId="1" applyAlignment="1" pivotButton="0" quotePrefix="0" xfId="0">
      <alignment horizontal="right"/>
    </xf>
    <xf numFmtId="2" fontId="5" fillId="0" borderId="1" applyAlignment="1" pivotButton="0" quotePrefix="0" xfId="0">
      <alignment horizontal="right"/>
    </xf>
    <xf numFmtId="2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167" fontId="6" fillId="2" borderId="1" applyAlignment="1" pivotButton="0" quotePrefix="0" xfId="0">
      <alignment horizontal="right"/>
    </xf>
    <xf numFmtId="167" fontId="6" fillId="4" borderId="1" applyAlignment="1" pivotButton="0" quotePrefix="0" xfId="0">
      <alignment horizontal="right"/>
    </xf>
    <xf numFmtId="167" fontId="11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25" customWidth="1" min="6" max="6"/>
  </cols>
  <sheetData>
    <row r="1">
      <c r="A1" s="1" t="inlineStr">
        <is>
          <t>KEALEE LABOR RATES &amp; LOADED COSTS</t>
        </is>
      </c>
    </row>
    <row r="3">
      <c r="A3" s="2" t="inlineStr">
        <is>
          <t>INTERNAL LABOR RATES</t>
        </is>
      </c>
      <c r="B3" s="3" t="n"/>
      <c r="C3" s="3" t="n"/>
      <c r="D3" s="3" t="n"/>
      <c r="E3" s="3" t="n"/>
      <c r="F3" s="4" t="n"/>
    </row>
    <row r="5">
      <c r="A5" s="5" t="inlineStr">
        <is>
          <t>Role</t>
        </is>
      </c>
      <c r="B5" s="5" t="inlineStr">
        <is>
          <t>Hourly Rate</t>
        </is>
      </c>
      <c r="C5" s="5" t="inlineStr">
        <is>
          <t>Burden %</t>
        </is>
      </c>
      <c r="D5" s="5" t="inlineStr">
        <is>
          <t>Loaded Rate</t>
        </is>
      </c>
      <c r="E5" s="5" t="inlineStr">
        <is>
          <t>Daily Cost</t>
        </is>
      </c>
      <c r="F5" s="5" t="inlineStr">
        <is>
          <t>Notes</t>
        </is>
      </c>
    </row>
    <row r="6">
      <c r="A6" s="6" t="inlineStr">
        <is>
          <t>Tim (Owner/PM)</t>
        </is>
      </c>
      <c r="B6" s="7" t="n">
        <v>75</v>
      </c>
      <c r="C6" s="8" t="n">
        <v>0.3</v>
      </c>
      <c r="D6" s="9">
        <f>B6*(1+C6)</f>
        <v/>
      </c>
      <c r="E6" s="9">
        <f>D6*8</f>
        <v/>
      </c>
      <c r="F6" s="10" t="inlineStr">
        <is>
          <t>Direct billable + oversight</t>
        </is>
      </c>
    </row>
    <row r="7">
      <c r="A7" s="6" t="inlineStr">
        <is>
          <t>Senior Project Manager</t>
        </is>
      </c>
      <c r="B7" s="7" t="n">
        <v>55</v>
      </c>
      <c r="C7" s="8" t="n">
        <v>0.35</v>
      </c>
      <c r="D7" s="9">
        <f>B7*(1+C7)</f>
        <v/>
      </c>
      <c r="E7" s="9">
        <f>D7*8</f>
        <v/>
      </c>
      <c r="F7" s="10" t="inlineStr">
        <is>
          <t>Future hire - manages 15-20 jobs</t>
        </is>
      </c>
    </row>
    <row r="8">
      <c r="A8" s="6" t="inlineStr">
        <is>
          <t>Project Coordinator</t>
        </is>
      </c>
      <c r="B8" s="7" t="n">
        <v>35</v>
      </c>
      <c r="C8" s="8" t="n">
        <v>0.35</v>
      </c>
      <c r="D8" s="9">
        <f>B8*(1+C8)</f>
        <v/>
      </c>
      <c r="E8" s="9">
        <f>D8*8</f>
        <v/>
      </c>
      <c r="F8" s="10" t="inlineStr">
        <is>
          <t>Future hire - admin support</t>
        </is>
      </c>
    </row>
    <row r="9">
      <c r="A9" s="6" t="inlineStr">
        <is>
          <t>Estimator</t>
        </is>
      </c>
      <c r="B9" s="7" t="n">
        <v>50</v>
      </c>
      <c r="C9" s="8" t="n">
        <v>0.35</v>
      </c>
      <c r="D9" s="9">
        <f>B9*(1+C9)</f>
        <v/>
      </c>
      <c r="E9" s="9">
        <f>D9*8</f>
        <v/>
      </c>
      <c r="F9" s="10" t="inlineStr">
        <is>
          <t>Takeoffs, bid prep</t>
        </is>
      </c>
    </row>
    <row r="10">
      <c r="A10" s="6" t="inlineStr">
        <is>
          <t>Permit Expediter</t>
        </is>
      </c>
      <c r="B10" s="7" t="n">
        <v>30</v>
      </c>
      <c r="C10" s="8" t="n">
        <v>0.3</v>
      </c>
      <c r="D10" s="9">
        <f>B10*(1+C10)</f>
        <v/>
      </c>
      <c r="E10" s="9">
        <f>D10*8</f>
        <v/>
      </c>
      <c r="F10" s="10" t="inlineStr">
        <is>
          <t>Permit running, inspections</t>
        </is>
      </c>
    </row>
    <row r="11">
      <c r="A11" s="6" t="inlineStr">
        <is>
          <t>Field Superintendent</t>
        </is>
      </c>
      <c r="B11" s="7" t="n">
        <v>45</v>
      </c>
      <c r="C11" s="8" t="n">
        <v>0.35</v>
      </c>
      <c r="D11" s="9">
        <f>B11*(1+C11)</f>
        <v/>
      </c>
      <c r="E11" s="9">
        <f>D11*8</f>
        <v/>
      </c>
      <c r="F11" s="10" t="inlineStr">
        <is>
          <t>Site visits, QC</t>
        </is>
      </c>
    </row>
    <row r="12">
      <c r="A12" s="6" t="inlineStr">
        <is>
          <t>Admin/Bookkeeper</t>
        </is>
      </c>
      <c r="B12" s="7" t="n">
        <v>28</v>
      </c>
      <c r="C12" s="8" t="n">
        <v>0.3</v>
      </c>
      <c r="D12" s="9">
        <f>B12*(1+C12)</f>
        <v/>
      </c>
      <c r="E12" s="9">
        <f>D12*8</f>
        <v/>
      </c>
      <c r="F12" s="10" t="inlineStr">
        <is>
          <t>Invoicing, AP/AR</t>
        </is>
      </c>
    </row>
    <row r="15">
      <c r="A15" s="2" t="inlineStr">
        <is>
          <t>OVERHEAD &amp; PROFIT (O&amp;P) MARKUP</t>
        </is>
      </c>
      <c r="B15" s="3" t="n"/>
      <c r="C15" s="3" t="n"/>
      <c r="D15" s="3" t="n"/>
      <c r="E15" s="3" t="n"/>
      <c r="F15" s="4" t="n"/>
    </row>
    <row r="17">
      <c r="A17" s="5" t="inlineStr">
        <is>
          <t>Component</t>
        </is>
      </c>
      <c r="B17" s="5" t="inlineStr">
        <is>
          <t>Rate</t>
        </is>
      </c>
      <c r="C17" s="5" t="inlineStr">
        <is>
          <t>Applied To</t>
        </is>
      </c>
      <c r="D17" s="5" t="inlineStr">
        <is>
          <t>Notes</t>
        </is>
      </c>
      <c r="E17" s="5" t="inlineStr"/>
      <c r="F17" s="5" t="inlineStr"/>
    </row>
    <row r="18">
      <c r="A18" s="6" t="inlineStr">
        <is>
          <t>General Overhead</t>
        </is>
      </c>
      <c r="B18" s="11" t="n">
        <v>0.15</v>
      </c>
      <c r="C18" t="inlineStr">
        <is>
          <t>All labor + direct costs</t>
        </is>
      </c>
      <c r="D18" s="10" t="inlineStr">
        <is>
          <t>Insurance, office, tools, vehicles</t>
        </is>
      </c>
    </row>
    <row r="19">
      <c r="A19" s="6" t="inlineStr">
        <is>
          <t>Profit Margin</t>
        </is>
      </c>
      <c r="B19" s="11" t="n">
        <v>0.1</v>
      </c>
      <c r="C19" t="inlineStr">
        <is>
          <t>Subtotal after overhead</t>
        </is>
      </c>
      <c r="D19" s="10" t="inlineStr">
        <is>
          <t>Target net margin</t>
        </is>
      </c>
    </row>
    <row r="20">
      <c r="A20" s="12" t="inlineStr">
        <is>
          <t>Combined O&amp;P</t>
        </is>
      </c>
      <c r="B20" s="13">
        <f>B18+B19+(B18*B19)</f>
        <v/>
      </c>
      <c r="C20" t="inlineStr">
        <is>
          <t>Effective markup</t>
        </is>
      </c>
      <c r="D20" s="10" t="inlineStr">
        <is>
          <t>Standard construction O&amp;P</t>
        </is>
      </c>
    </row>
    <row r="23">
      <c r="A23" s="2" t="inlineStr">
        <is>
          <t>BILLABLE RATE CALCULATION</t>
        </is>
      </c>
      <c r="B23" s="3" t="n"/>
      <c r="C23" s="3" t="n"/>
      <c r="D23" s="3" t="n"/>
      <c r="E23" s="3" t="n"/>
      <c r="F23" s="4" t="n"/>
    </row>
    <row r="25">
      <c r="A25" s="5" t="inlineStr">
        <is>
          <t>Role</t>
        </is>
      </c>
      <c r="B25" s="5" t="inlineStr">
        <is>
          <t>Loaded Cost</t>
        </is>
      </c>
      <c r="C25" s="5" t="inlineStr">
        <is>
          <t>O&amp;P Markup</t>
        </is>
      </c>
      <c r="D25" s="5" t="inlineStr">
        <is>
          <t>Billable Rate</t>
        </is>
      </c>
      <c r="E25" s="5" t="inlineStr">
        <is>
          <t>Daily Bill Rate</t>
        </is>
      </c>
      <c r="F25" s="5" t="inlineStr"/>
    </row>
    <row r="26">
      <c r="A26" s="6" t="inlineStr">
        <is>
          <t>Tim (Owner/PM)</t>
        </is>
      </c>
      <c r="B26" s="9">
        <f>D6</f>
        <v/>
      </c>
      <c r="C26" s="13">
        <f>$B$20</f>
        <v/>
      </c>
      <c r="D26" s="9">
        <f>B26*(1+C26)</f>
        <v/>
      </c>
      <c r="E26" s="9">
        <f>D26*8</f>
        <v/>
      </c>
    </row>
    <row r="27">
      <c r="A27" s="6" t="inlineStr">
        <is>
          <t>Senior PM</t>
        </is>
      </c>
      <c r="B27" s="9">
        <f>D7</f>
        <v/>
      </c>
      <c r="C27" s="13">
        <f>$B$20</f>
        <v/>
      </c>
      <c r="D27" s="9">
        <f>B27*(1+C27)</f>
        <v/>
      </c>
      <c r="E27" s="9">
        <f>D27*8</f>
        <v/>
      </c>
    </row>
    <row r="28">
      <c r="A28" s="6" t="inlineStr">
        <is>
          <t>Project Coordinator</t>
        </is>
      </c>
      <c r="B28" s="9">
        <f>D8</f>
        <v/>
      </c>
      <c r="C28" s="13">
        <f>$B$20</f>
        <v/>
      </c>
      <c r="D28" s="9">
        <f>B28*(1+C28)</f>
        <v/>
      </c>
      <c r="E28" s="9">
        <f>D28*8</f>
        <v/>
      </c>
    </row>
    <row r="29">
      <c r="A29" s="6" t="inlineStr">
        <is>
          <t>Estimator</t>
        </is>
      </c>
      <c r="B29" s="9">
        <f>D9</f>
        <v/>
      </c>
      <c r="C29" s="13">
        <f>$B$20</f>
        <v/>
      </c>
      <c r="D29" s="9">
        <f>B29*(1+C29)</f>
        <v/>
      </c>
      <c r="E29" s="9">
        <f>D29*8</f>
        <v/>
      </c>
    </row>
    <row r="30">
      <c r="A30" s="6" t="inlineStr">
        <is>
          <t>Permit Expediter</t>
        </is>
      </c>
      <c r="B30" s="9">
        <f>D10</f>
        <v/>
      </c>
      <c r="C30" s="13">
        <f>$B$20</f>
        <v/>
      </c>
      <c r="D30" s="9">
        <f>B30*(1+C30)</f>
        <v/>
      </c>
      <c r="E30" s="9">
        <f>D30*8</f>
        <v/>
      </c>
    </row>
    <row r="31">
      <c r="A31" s="6" t="inlineStr">
        <is>
          <t>Field Super</t>
        </is>
      </c>
      <c r="B31" s="9">
        <f>D11</f>
        <v/>
      </c>
      <c r="C31" s="13">
        <f>$B$20</f>
        <v/>
      </c>
      <c r="D31" s="9">
        <f>B31*(1+C31)</f>
        <v/>
      </c>
      <c r="E31" s="9">
        <f>D31*8</f>
        <v/>
      </c>
    </row>
  </sheetData>
  <mergeCells count="4">
    <mergeCell ref="A3:F3"/>
    <mergeCell ref="A1:F1"/>
    <mergeCell ref="A23:F23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5" customWidth="1" min="4" max="4"/>
    <col width="15" customWidth="1" min="5" max="5"/>
    <col width="15" customWidth="1" min="6" max="6"/>
    <col width="12" customWidth="1" min="7" max="7"/>
  </cols>
  <sheetData>
    <row r="1">
      <c r="A1" s="1" t="inlineStr">
        <is>
          <t>TASK-BASED PRICING &amp; TIME ESTIMATES</t>
        </is>
      </c>
    </row>
    <row r="3">
      <c r="A3" s="2" t="inlineStr">
        <is>
          <t>A LA CARTE SERVICES (m-ops-services)</t>
        </is>
      </c>
      <c r="B3" s="3" t="n"/>
      <c r="C3" s="3" t="n"/>
      <c r="D3" s="3" t="n"/>
      <c r="E3" s="3" t="n"/>
      <c r="F3" s="3" t="n"/>
      <c r="G3" s="4" t="n"/>
    </row>
    <row r="5">
      <c r="A5" s="5" t="inlineStr">
        <is>
          <t>Service</t>
        </is>
      </c>
      <c r="B5" s="5" t="inlineStr">
        <is>
          <t>Hours</t>
        </is>
      </c>
      <c r="C5" s="5" t="inlineStr">
        <is>
          <t>Role</t>
        </is>
      </c>
      <c r="D5" s="5" t="inlineStr">
        <is>
          <t>Labor Cost</t>
        </is>
      </c>
      <c r="E5" s="5" t="inlineStr">
        <is>
          <t>With O&amp;P</t>
        </is>
      </c>
      <c r="F5" s="5" t="inlineStr">
        <is>
          <t>List Price</t>
        </is>
      </c>
      <c r="G5" s="5" t="inlineStr">
        <is>
          <t>Margin</t>
        </is>
      </c>
    </row>
    <row r="6">
      <c r="A6" s="6" t="inlineStr">
        <is>
          <t>Site Visit &amp; Inspection</t>
        </is>
      </c>
      <c r="B6" s="14" t="n">
        <v>2</v>
      </c>
      <c r="C6" s="6" t="inlineStr">
        <is>
          <t>Field Super</t>
        </is>
      </c>
      <c r="D6" s="9">
        <f>2*'Labor Rates'!D11</f>
        <v/>
      </c>
      <c r="E6" s="9">
        <f>D6*1.265</f>
        <v/>
      </c>
      <c r="F6" s="15" t="n">
        <v>125</v>
      </c>
      <c r="G6" s="13">
        <f>1-(D6/F6)</f>
        <v/>
      </c>
    </row>
    <row r="7">
      <c r="A7" s="6" t="inlineStr">
        <is>
          <t>Permit Application Prep</t>
        </is>
      </c>
      <c r="B7" s="14" t="n">
        <v>3</v>
      </c>
      <c r="C7" s="6" t="inlineStr">
        <is>
          <t>Permit Exp</t>
        </is>
      </c>
      <c r="D7" s="9">
        <f>3*'Labor Rates'!D10</f>
        <v/>
      </c>
      <c r="E7" s="9">
        <f>D7*1.265</f>
        <v/>
      </c>
      <c r="F7" s="15" t="n">
        <v>195</v>
      </c>
      <c r="G7" s="13">
        <f>1-(D7/F7)</f>
        <v/>
      </c>
    </row>
    <row r="8">
      <c r="A8" s="6" t="inlineStr">
        <is>
          <t>Code Compliance Review</t>
        </is>
      </c>
      <c r="B8" s="14" t="n">
        <v>2</v>
      </c>
      <c r="C8" s="6" t="inlineStr">
        <is>
          <t>Permit Exp</t>
        </is>
      </c>
      <c r="D8" s="9">
        <f>2*'Labor Rates'!D10</f>
        <v/>
      </c>
      <c r="E8" s="9">
        <f>D8*1.265</f>
        <v/>
      </c>
      <c r="F8" s="15" t="n">
        <v>150</v>
      </c>
      <c r="G8" s="13">
        <f>1-(D8/F8)</f>
        <v/>
      </c>
    </row>
    <row r="9">
      <c r="A9" s="6" t="inlineStr">
        <is>
          <t>Subcontractor Coordination</t>
        </is>
      </c>
      <c r="B9" s="14" t="n">
        <v>1.5</v>
      </c>
      <c r="C9" s="6" t="inlineStr">
        <is>
          <t>PM</t>
        </is>
      </c>
      <c r="D9" s="9">
        <f>1.5*'Labor Rates'!D6</f>
        <v/>
      </c>
      <c r="E9" s="9">
        <f>D9*1.265</f>
        <v/>
      </c>
      <c r="F9" s="15" t="n">
        <v>175</v>
      </c>
      <c r="G9" s="13">
        <f>1-(D9/F9)</f>
        <v/>
      </c>
    </row>
    <row r="10">
      <c r="A10" s="6" t="inlineStr">
        <is>
          <t>Daily Log &amp; Photo Doc</t>
        </is>
      </c>
      <c r="B10" s="14" t="n">
        <v>0.5</v>
      </c>
      <c r="C10" s="6" t="inlineStr">
        <is>
          <t>Coordinator</t>
        </is>
      </c>
      <c r="D10" s="9">
        <f>0.5*'Labor Rates'!D8</f>
        <v/>
      </c>
      <c r="E10" s="9">
        <f>D10*1.265</f>
        <v/>
      </c>
      <c r="F10" s="15" t="n">
        <v>75</v>
      </c>
      <c r="G10" s="13">
        <f>1-(D10/F10)</f>
        <v/>
      </c>
    </row>
    <row r="11">
      <c r="A11" s="6" t="inlineStr">
        <is>
          <t>Change Order Processing</t>
        </is>
      </c>
      <c r="B11" s="14" t="n">
        <v>1</v>
      </c>
      <c r="C11" s="6" t="inlineStr">
        <is>
          <t>PM</t>
        </is>
      </c>
      <c r="D11" s="9">
        <f>1*'Labor Rates'!D6</f>
        <v/>
      </c>
      <c r="E11" s="9">
        <f>D11*1.265</f>
        <v/>
      </c>
      <c r="F11" s="15" t="n">
        <v>125</v>
      </c>
      <c r="G11" s="13">
        <f>1-(D11/F11)</f>
        <v/>
      </c>
    </row>
    <row r="12">
      <c r="A12" s="6" t="inlineStr">
        <is>
          <t>Pay App Preparation</t>
        </is>
      </c>
      <c r="B12" s="14" t="n">
        <v>2</v>
      </c>
      <c r="C12" s="6" t="inlineStr">
        <is>
          <t>PM</t>
        </is>
      </c>
      <c r="D12" s="9">
        <f>2*'Labor Rates'!D6</f>
        <v/>
      </c>
      <c r="E12" s="9">
        <f>D12*1.265</f>
        <v/>
      </c>
      <c r="F12" s="15" t="n">
        <v>250</v>
      </c>
      <c r="G12" s="13">
        <f>1-(D12/F12)</f>
        <v/>
      </c>
    </row>
    <row r="13">
      <c r="A13" s="6" t="inlineStr">
        <is>
          <t>Punch List Management</t>
        </is>
      </c>
      <c r="B13" s="14" t="n">
        <v>3</v>
      </c>
      <c r="C13" s="6" t="inlineStr">
        <is>
          <t>Coordinator</t>
        </is>
      </c>
      <c r="D13" s="9">
        <f>3*'Labor Rates'!D8</f>
        <v/>
      </c>
      <c r="E13" s="9">
        <f>D13*1.265</f>
        <v/>
      </c>
      <c r="F13" s="15" t="n">
        <v>195</v>
      </c>
      <c r="G13" s="13">
        <f>1-(D13/F13)</f>
        <v/>
      </c>
    </row>
    <row r="14">
      <c r="A14" s="6" t="inlineStr">
        <is>
          <t>RFI Response Coordination</t>
        </is>
      </c>
      <c r="B14" s="14" t="n">
        <v>1</v>
      </c>
      <c r="C14" s="6" t="inlineStr">
        <is>
          <t>PM</t>
        </is>
      </c>
      <c r="D14" s="9">
        <f>1*'Labor Rates'!D6</f>
        <v/>
      </c>
      <c r="E14" s="9">
        <f>D14*1.265</f>
        <v/>
      </c>
      <c r="F14" s="15" t="n">
        <v>125</v>
      </c>
      <c r="G14" s="13">
        <f>1-(D14/F14)</f>
        <v/>
      </c>
    </row>
    <row r="15">
      <c r="A15" s="6" t="inlineStr">
        <is>
          <t>Submittal Processing</t>
        </is>
      </c>
      <c r="B15" s="14" t="n">
        <v>1.5</v>
      </c>
      <c r="C15" s="6" t="inlineStr">
        <is>
          <t>Coordinator</t>
        </is>
      </c>
      <c r="D15" s="9">
        <f>1.5*'Labor Rates'!D8</f>
        <v/>
      </c>
      <c r="E15" s="9">
        <f>D15*1.265</f>
        <v/>
      </c>
      <c r="F15" s="15" t="n">
        <v>150</v>
      </c>
      <c r="G15" s="13">
        <f>1-(D15/F15)</f>
        <v/>
      </c>
    </row>
    <row r="16">
      <c r="A16" s="6" t="inlineStr">
        <is>
          <t>Safety Meeting Facilitation</t>
        </is>
      </c>
      <c r="B16" s="14" t="n">
        <v>1</v>
      </c>
      <c r="C16" s="6" t="inlineStr">
        <is>
          <t>Field Super</t>
        </is>
      </c>
      <c r="D16" s="9">
        <f>1*'Labor Rates'!D11</f>
        <v/>
      </c>
      <c r="E16" s="9">
        <f>D16*1.265</f>
        <v/>
      </c>
      <c r="F16" s="15" t="n">
        <v>125</v>
      </c>
      <c r="G16" s="13">
        <f>1-(D16/F16)</f>
        <v/>
      </c>
    </row>
    <row r="19">
      <c r="A19" s="2" t="inlineStr">
        <is>
          <t>ESTIMATION SERVICES</t>
        </is>
      </c>
      <c r="B19" s="3" t="n"/>
      <c r="C19" s="3" t="n"/>
      <c r="D19" s="3" t="n"/>
      <c r="E19" s="3" t="n"/>
      <c r="F19" s="3" t="n"/>
      <c r="G19" s="4" t="n"/>
    </row>
    <row r="21">
      <c r="A21" s="5" t="inlineStr">
        <is>
          <t>Service</t>
        </is>
      </c>
      <c r="B21" s="5" t="inlineStr">
        <is>
          <t>Hours</t>
        </is>
      </c>
      <c r="C21" s="5" t="inlineStr">
        <is>
          <t>Role</t>
        </is>
      </c>
      <c r="D21" s="5" t="inlineStr">
        <is>
          <t>Labor Cost</t>
        </is>
      </c>
      <c r="E21" s="5" t="inlineStr">
        <is>
          <t>With O&amp;P</t>
        </is>
      </c>
      <c r="F21" s="5" t="inlineStr">
        <is>
          <t>List Price</t>
        </is>
      </c>
      <c r="G21" s="5" t="inlineStr">
        <is>
          <t>Margin</t>
        </is>
      </c>
    </row>
    <row r="22">
      <c r="A22" s="6" t="inlineStr">
        <is>
          <t>Basic Takeoff (&lt;2,500 SF)</t>
        </is>
      </c>
      <c r="B22" s="14" t="n">
        <v>4</v>
      </c>
      <c r="C22" s="6" t="inlineStr">
        <is>
          <t>Estimator</t>
        </is>
      </c>
      <c r="D22" s="9">
        <f>4*'Labor Rates'!D9</f>
        <v/>
      </c>
      <c r="E22" s="9">
        <f>D22*1.265</f>
        <v/>
      </c>
      <c r="F22" s="15" t="n">
        <v>195</v>
      </c>
      <c r="G22" s="13">
        <f>1-(D22/F22)</f>
        <v/>
      </c>
    </row>
    <row r="23">
      <c r="A23" s="6" t="inlineStr">
        <is>
          <t>Standard Takeoff (2,500-5K SF)</t>
        </is>
      </c>
      <c r="B23" s="14" t="n">
        <v>8</v>
      </c>
      <c r="C23" s="6" t="inlineStr">
        <is>
          <t>Estimator</t>
        </is>
      </c>
      <c r="D23" s="9">
        <f>8*'Labor Rates'!D9</f>
        <v/>
      </c>
      <c r="E23" s="9">
        <f>D23*1.265</f>
        <v/>
      </c>
      <c r="F23" s="15" t="n">
        <v>495</v>
      </c>
      <c r="G23" s="13">
        <f>1-(D23/F23)</f>
        <v/>
      </c>
    </row>
    <row r="24">
      <c r="A24" s="6" t="inlineStr">
        <is>
          <t>Complex Takeoff (5K-10K SF)</t>
        </is>
      </c>
      <c r="B24" s="14" t="n">
        <v>16</v>
      </c>
      <c r="C24" s="6" t="inlineStr">
        <is>
          <t>Estimator</t>
        </is>
      </c>
      <c r="D24" s="9">
        <f>16*'Labor Rates'!D9</f>
        <v/>
      </c>
      <c r="E24" s="9">
        <f>D24*1.265</f>
        <v/>
      </c>
      <c r="F24" s="15" t="n">
        <v>995</v>
      </c>
      <c r="G24" s="13">
        <f>1-(D24/F24)</f>
        <v/>
      </c>
    </row>
    <row r="25">
      <c r="A25" s="6" t="inlineStr">
        <is>
          <t>Commercial Estimate (&lt;25K SF)</t>
        </is>
      </c>
      <c r="B25" s="14" t="n">
        <v>24</v>
      </c>
      <c r="C25" s="6" t="inlineStr">
        <is>
          <t>Estimator</t>
        </is>
      </c>
      <c r="D25" s="9">
        <f>24*'Labor Rates'!D9</f>
        <v/>
      </c>
      <c r="E25" s="9">
        <f>D25*1.265</f>
        <v/>
      </c>
      <c r="F25" s="15" t="n">
        <v>1995</v>
      </c>
      <c r="G25" s="13">
        <f>1-(D25/F25)</f>
        <v/>
      </c>
    </row>
    <row r="26">
      <c r="A26" s="6" t="inlineStr">
        <is>
          <t>Large Commercial (25K-100K SF)</t>
        </is>
      </c>
      <c r="B26" s="14" t="n">
        <v>40</v>
      </c>
      <c r="C26" s="6" t="inlineStr">
        <is>
          <t>Estimator</t>
        </is>
      </c>
      <c r="D26" s="9">
        <f>40*'Labor Rates'!D9</f>
        <v/>
      </c>
      <c r="E26" s="9">
        <f>D26*1.265</f>
        <v/>
      </c>
      <c r="F26" s="15" t="n">
        <v>3495</v>
      </c>
      <c r="G26" s="13">
        <f>1-(D26/F26)</f>
        <v/>
      </c>
    </row>
    <row r="27">
      <c r="A27" s="6" t="inlineStr">
        <is>
          <t>Major Project (&gt;100K SF)</t>
        </is>
      </c>
      <c r="B27" s="14" t="n">
        <v>80</v>
      </c>
      <c r="C27" s="6" t="inlineStr">
        <is>
          <t>Estimator</t>
        </is>
      </c>
      <c r="D27" s="9">
        <f>80*'Labor Rates'!D9</f>
        <v/>
      </c>
      <c r="E27" s="9">
        <f>D27*1.265</f>
        <v/>
      </c>
      <c r="F27" s="15" t="n">
        <v>5995</v>
      </c>
      <c r="G27" s="13">
        <f>1-(D27/F27)</f>
        <v/>
      </c>
    </row>
    <row r="28">
      <c r="A28" s="6" t="inlineStr">
        <is>
          <t>Bid Package Assembly</t>
        </is>
      </c>
      <c r="B28" s="14" t="n">
        <v>6</v>
      </c>
      <c r="C28" s="6" t="inlineStr">
        <is>
          <t>PM</t>
        </is>
      </c>
      <c r="D28" s="9">
        <f>6*'Labor Rates'!D6</f>
        <v/>
      </c>
      <c r="E28" s="9">
        <f>D28*1.265</f>
        <v/>
      </c>
      <c r="F28" s="15" t="n">
        <v>695</v>
      </c>
      <c r="G28" s="13">
        <f>1-(D28/F28)</f>
        <v/>
      </c>
    </row>
  </sheetData>
  <mergeCells count="2">
    <mergeCell ref="A3:G3"/>
    <mergeCell ref="A19:G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  <col width="15" customWidth="1" min="4" max="4"/>
    <col width="20" customWidth="1" min="5" max="5"/>
  </cols>
  <sheetData>
    <row r="1">
      <c r="A1" s="1" t="inlineStr">
        <is>
          <t>HOW 100 JOBS AT $16,500/MO WORKS</t>
        </is>
      </c>
    </row>
    <row r="2">
      <c r="A2" s="16" t="inlineStr">
        <is>
          <t>Package C: Enterprise PM Package - Unit Economics Breakdown</t>
        </is>
      </c>
    </row>
    <row r="4">
      <c r="A4" s="2" t="inlineStr">
        <is>
          <t>MONTHLY REVENUE</t>
        </is>
      </c>
      <c r="B4" s="3" t="n"/>
      <c r="C4" s="3" t="n"/>
      <c r="D4" s="3" t="n"/>
      <c r="E4" s="4" t="n"/>
    </row>
    <row r="6">
      <c r="A6" s="6" t="inlineStr">
        <is>
          <t>Package C Monthly Fee</t>
        </is>
      </c>
      <c r="B6" s="15" t="n">
        <v>16500</v>
      </c>
      <c r="E6" s="17" t="inlineStr">
        <is>
          <t>Fixed monthly subscription</t>
        </is>
      </c>
    </row>
    <row r="7">
      <c r="A7" s="6" t="inlineStr">
        <is>
          <t>Jobs Included</t>
        </is>
      </c>
      <c r="B7" s="18" t="n">
        <v>100</v>
      </c>
      <c r="E7" s="17" t="inlineStr">
        <is>
          <t>Active projects under management</t>
        </is>
      </c>
    </row>
    <row r="8">
      <c r="A8" s="6" t="inlineStr">
        <is>
          <t>Revenue per Job</t>
        </is>
      </c>
      <c r="B8" s="9">
        <f>B6/B7</f>
        <v/>
      </c>
      <c r="E8" s="17" t="inlineStr">
        <is>
          <t>Effective rate per project</t>
        </is>
      </c>
    </row>
    <row r="11">
      <c r="A11" s="2" t="inlineStr">
        <is>
          <t>TIME ALLOCATION PER JOB (MONTHLY)</t>
        </is>
      </c>
      <c r="B11" s="3" t="n"/>
      <c r="C11" s="3" t="n"/>
      <c r="D11" s="3" t="n"/>
      <c r="E11" s="4" t="n"/>
    </row>
    <row r="13">
      <c r="A13" s="5" t="inlineStr">
        <is>
          <t>Activity</t>
        </is>
      </c>
      <c r="B13" s="5" t="inlineStr">
        <is>
          <t>Hrs/Job/Mo</t>
        </is>
      </c>
      <c r="C13" s="5" t="inlineStr">
        <is>
          <t>Role</t>
        </is>
      </c>
      <c r="D13" s="5" t="inlineStr">
        <is>
          <t>Cost/Job</t>
        </is>
      </c>
      <c r="E13" s="5" t="inlineStr">
        <is>
          <t>Notes</t>
        </is>
      </c>
    </row>
    <row r="14">
      <c r="A14" s="6" t="inlineStr">
        <is>
          <t>Schedule review &amp; update</t>
        </is>
      </c>
      <c r="B14" s="19" t="n">
        <v>0.25</v>
      </c>
      <c r="C14" s="6" t="inlineStr">
        <is>
          <t>PM</t>
        </is>
      </c>
      <c r="D14" s="9">
        <f>B14*'Labor Rates'!D6</f>
        <v/>
      </c>
      <c r="E14" s="10" t="inlineStr">
        <is>
          <t>Weekly 15-min check</t>
        </is>
      </c>
    </row>
    <row r="15">
      <c r="A15" s="6" t="inlineStr">
        <is>
          <t>Daily log review (automated)</t>
        </is>
      </c>
      <c r="B15" s="19" t="n">
        <v>0.1</v>
      </c>
      <c r="C15" s="6" t="inlineStr">
        <is>
          <t>Coordinator</t>
        </is>
      </c>
      <c r="D15" s="9">
        <f>B15*'Labor Rates'!D8</f>
        <v/>
      </c>
      <c r="E15" s="10" t="inlineStr">
        <is>
          <t>AI-assisted, exception-based</t>
        </is>
      </c>
    </row>
    <row r="16">
      <c r="A16" s="6" t="inlineStr">
        <is>
          <t>Owner communication</t>
        </is>
      </c>
      <c r="B16" s="19" t="n">
        <v>0.25</v>
      </c>
      <c r="C16" s="6" t="inlineStr">
        <is>
          <t>PM</t>
        </is>
      </c>
      <c r="D16" s="9">
        <f>B16*'Labor Rates'!D6</f>
        <v/>
      </c>
      <c r="E16" s="10" t="inlineStr">
        <is>
          <t>Weekly status update</t>
        </is>
      </c>
    </row>
    <row r="17">
      <c r="A17" s="6" t="inlineStr">
        <is>
          <t>Sub coordination</t>
        </is>
      </c>
      <c r="B17" s="19" t="n">
        <v>0.2</v>
      </c>
      <c r="C17" s="6" t="inlineStr">
        <is>
          <t>Coordinator</t>
        </is>
      </c>
      <c r="D17" s="9">
        <f>B17*'Labor Rates'!D8</f>
        <v/>
      </c>
      <c r="E17" s="10" t="inlineStr">
        <is>
          <t>Scheduling, follow-up</t>
        </is>
      </c>
    </row>
    <row r="18">
      <c r="A18" s="6" t="inlineStr">
        <is>
          <t>Financial tracking</t>
        </is>
      </c>
      <c r="B18" s="19" t="n">
        <v>0.15</v>
      </c>
      <c r="C18" s="6" t="inlineStr">
        <is>
          <t>PM</t>
        </is>
      </c>
      <c r="D18" s="9">
        <f>B18*'Labor Rates'!D6</f>
        <v/>
      </c>
      <c r="E18" s="10" t="inlineStr">
        <is>
          <t>Budget monitoring</t>
        </is>
      </c>
    </row>
    <row r="19">
      <c r="A19" s="6" t="inlineStr">
        <is>
          <t>Issue resolution</t>
        </is>
      </c>
      <c r="B19" s="19" t="n">
        <v>0.25</v>
      </c>
      <c r="C19" s="6" t="inlineStr">
        <is>
          <t>PM</t>
        </is>
      </c>
      <c r="D19" s="9">
        <f>B19*'Labor Rates'!D6</f>
        <v/>
      </c>
      <c r="E19" s="10" t="inlineStr">
        <is>
          <t>Problem-solving as needed</t>
        </is>
      </c>
    </row>
    <row r="20">
      <c r="A20" s="6" t="inlineStr">
        <is>
          <t>Document management</t>
        </is>
      </c>
      <c r="B20" s="19" t="n">
        <v>0.1</v>
      </c>
      <c r="C20" s="6" t="inlineStr">
        <is>
          <t>Coordinator</t>
        </is>
      </c>
      <c r="D20" s="9">
        <f>B20*'Labor Rates'!D8</f>
        <v/>
      </c>
      <c r="E20" s="10" t="inlineStr">
        <is>
          <t>Filing, distribution</t>
        </is>
      </c>
    </row>
    <row r="21">
      <c r="A21" s="6" t="inlineStr">
        <is>
          <t>Quality checks</t>
        </is>
      </c>
      <c r="B21" s="19" t="n">
        <v>0.15</v>
      </c>
      <c r="C21" s="6" t="inlineStr">
        <is>
          <t>Field Super</t>
        </is>
      </c>
      <c r="D21" s="9">
        <f>B21*'Labor Rates'!D11</f>
        <v/>
      </c>
      <c r="E21" s="10" t="inlineStr">
        <is>
          <t>Spot inspections</t>
        </is>
      </c>
    </row>
    <row r="22">
      <c r="A22" s="6" t="inlineStr">
        <is>
          <t>Platform overhead</t>
        </is>
      </c>
      <c r="B22" s="19" t="n">
        <v>0.05</v>
      </c>
      <c r="C22" s="6" t="inlineStr">
        <is>
          <t>Admin</t>
        </is>
      </c>
      <c r="D22" s="9">
        <f>B22*'Labor Rates'!D12</f>
        <v/>
      </c>
      <c r="E22" s="10" t="inlineStr">
        <is>
          <t>System maintenance</t>
        </is>
      </c>
    </row>
    <row r="24">
      <c r="A24" s="12" t="inlineStr">
        <is>
          <t>TOTAL HOURS PER JOB/MONTH</t>
        </is>
      </c>
      <c r="B24" s="20">
        <f>SUM(B14:B22)</f>
        <v/>
      </c>
    </row>
    <row r="25">
      <c r="A25" s="12" t="inlineStr">
        <is>
          <t>TOTAL LABOR COST PER JOB/MONTH</t>
        </is>
      </c>
      <c r="D25" s="9">
        <f>SUM(D14:D22)</f>
        <v/>
      </c>
    </row>
    <row r="28">
      <c r="A28" s="2" t="inlineStr">
        <is>
          <t>MONTHLY P&amp;L FOR 100 JOBS</t>
        </is>
      </c>
      <c r="B28" s="3" t="n"/>
      <c r="C28" s="3" t="n"/>
      <c r="D28" s="3" t="n"/>
      <c r="E28" s="4" t="n"/>
    </row>
    <row r="30">
      <c r="A30" s="12" t="inlineStr">
        <is>
          <t>Monthly Revenue</t>
        </is>
      </c>
      <c r="B30" s="21">
        <f>B6</f>
        <v/>
      </c>
    </row>
    <row r="31">
      <c r="A31" s="6" t="inlineStr"/>
    </row>
    <row r="32">
      <c r="A32" s="6" t="inlineStr">
        <is>
          <t>Direct Labor (100 jobs × cost/job)</t>
        </is>
      </c>
      <c r="B32" s="21">
        <f>D25*100</f>
        <v/>
      </c>
    </row>
    <row r="33">
      <c r="A33" s="6" t="inlineStr">
        <is>
          <t>Platform Infrastructure</t>
        </is>
      </c>
      <c r="B33" s="15" t="n">
        <v>250</v>
      </c>
      <c r="E33" s="17" t="inlineStr">
        <is>
          <t>Hosting, DB, APIs</t>
        </is>
      </c>
    </row>
    <row r="34">
      <c r="A34" s="6" t="inlineStr">
        <is>
          <t>Stripe Fees (2.9% + $0.30)</t>
        </is>
      </c>
      <c r="B34" s="21">
        <f>B30*0.029+0.30</f>
        <v/>
      </c>
    </row>
    <row r="35">
      <c r="A35" s="6" t="inlineStr">
        <is>
          <t>Total Direct Costs</t>
        </is>
      </c>
      <c r="B35" s="21">
        <f>SUM(B32:B34)</f>
        <v/>
      </c>
    </row>
    <row r="36">
      <c r="A36" s="6" t="inlineStr"/>
    </row>
    <row r="37">
      <c r="A37" s="12" t="inlineStr">
        <is>
          <t>Gross Profit</t>
        </is>
      </c>
      <c r="B37" s="21">
        <f>B30-B35</f>
        <v/>
      </c>
    </row>
    <row r="38">
      <c r="A38" s="6" t="inlineStr">
        <is>
          <t>Gross Margin %</t>
        </is>
      </c>
      <c r="B38" s="13">
        <f>B37/B30</f>
        <v/>
      </c>
    </row>
    <row r="39">
      <c r="A39" s="6" t="inlineStr"/>
    </row>
    <row r="40">
      <c r="A40" s="6" t="inlineStr">
        <is>
          <t>Allocated Overhead (15%)</t>
        </is>
      </c>
      <c r="B40" s="21">
        <f>B30*0.15</f>
        <v/>
      </c>
      <c r="E40" s="17" t="inlineStr">
        <is>
          <t>Insurance, office, tools</t>
        </is>
      </c>
    </row>
    <row r="41">
      <c r="A41" s="12" t="inlineStr">
        <is>
          <t>Net Profit Before Labor</t>
        </is>
      </c>
      <c r="B41" s="21">
        <f>B37-B40</f>
        <v/>
      </c>
    </row>
    <row r="42">
      <c r="A42" s="6" t="inlineStr">
        <is>
          <t>Net Margin %</t>
        </is>
      </c>
      <c r="B42" s="13">
        <f>B41/B30</f>
        <v/>
      </c>
    </row>
    <row r="45">
      <c r="A45" s="2" t="inlineStr">
        <is>
          <t>STAFFING REQUIREMENT</t>
        </is>
      </c>
      <c r="B45" s="3" t="n"/>
      <c r="C45" s="3" t="n"/>
      <c r="D45" s="3" t="n"/>
      <c r="E45" s="4" t="n"/>
    </row>
    <row r="47">
      <c r="A47" s="6" t="inlineStr">
        <is>
          <t>Total Hours for 100 Jobs/Month</t>
        </is>
      </c>
      <c r="B47" s="22">
        <f>B24*100</f>
        <v/>
      </c>
      <c r="C47" t="inlineStr">
        <is>
          <t>hours</t>
        </is>
      </c>
    </row>
    <row r="48">
      <c r="A48" s="6" t="inlineStr">
        <is>
          <t>Working Hours/Person/Month</t>
        </is>
      </c>
      <c r="B48" s="18" t="n">
        <v>160</v>
      </c>
      <c r="C48" t="inlineStr">
        <is>
          <t>hours (40hr × 4wk)</t>
        </is>
      </c>
    </row>
    <row r="49">
      <c r="A49" s="6" t="inlineStr">
        <is>
          <t>FTEs Required</t>
        </is>
      </c>
      <c r="B49" s="20">
        <f>B47/B48</f>
        <v/>
      </c>
      <c r="C49" t="inlineStr">
        <is>
          <t>full-time equivalents</t>
        </is>
      </c>
    </row>
    <row r="50">
      <c r="A50" s="6" t="inlineStr"/>
      <c r="C50" t="inlineStr"/>
    </row>
    <row r="51">
      <c r="A51" s="6" t="inlineStr">
        <is>
          <t>Recommended Staffing:</t>
        </is>
      </c>
      <c r="C51" t="inlineStr"/>
    </row>
    <row r="52">
      <c r="A52" s="6" t="inlineStr">
        <is>
          <t xml:space="preserve">  - Senior PM (manages 30-40 jobs)</t>
        </is>
      </c>
      <c r="B52" s="18" t="n">
        <v>2</v>
      </c>
      <c r="C52" t="inlineStr">
        <is>
          <t>people</t>
        </is>
      </c>
    </row>
    <row r="53">
      <c r="A53" s="6" t="inlineStr">
        <is>
          <t xml:space="preserve">  - Project Coordinator</t>
        </is>
      </c>
      <c r="B53" s="18" t="n">
        <v>1</v>
      </c>
      <c r="C53" t="inlineStr">
        <is>
          <t>person</t>
        </is>
      </c>
    </row>
    <row r="54">
      <c r="A54" s="6" t="inlineStr">
        <is>
          <t xml:space="preserve">  - Field Super (part-time)</t>
        </is>
      </c>
      <c r="B54" s="18" t="n">
        <v>0.25</v>
      </c>
      <c r="C54" t="inlineStr">
        <is>
          <t>FTE</t>
        </is>
      </c>
    </row>
  </sheetData>
  <mergeCells count="4">
    <mergeCell ref="A11:E11"/>
    <mergeCell ref="A45:E45"/>
    <mergeCell ref="A28:E28"/>
    <mergeCell ref="A4:E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REAL-TIME DAILY ECONOMICS</t>
        </is>
      </c>
    </row>
    <row r="2">
      <c r="A2" s="16" t="inlineStr">
        <is>
          <t>Daily P&amp;L by Package Tier (22 working days/month)</t>
        </is>
      </c>
    </row>
    <row r="4">
      <c r="A4" s="2" t="inlineStr">
        <is>
          <t>DAILY REVENUE</t>
        </is>
      </c>
      <c r="B4" s="3" t="n"/>
      <c r="C4" s="3" t="n"/>
      <c r="D4" s="3" t="n"/>
      <c r="E4" s="3" t="n"/>
      <c r="F4" s="3" t="n"/>
      <c r="G4" s="4" t="n"/>
    </row>
    <row r="6">
      <c r="A6" s="5" t="inlineStr">
        <is>
          <t>Metric</t>
        </is>
      </c>
      <c r="B6" s="5" t="inlineStr">
        <is>
          <t>A: Starter</t>
        </is>
      </c>
      <c r="C6" s="5" t="inlineStr">
        <is>
          <t>B: Pro</t>
        </is>
      </c>
      <c r="D6" s="5" t="inlineStr">
        <is>
          <t>C: Enterprise</t>
        </is>
      </c>
      <c r="E6" s="5" t="inlineStr">
        <is>
          <t>D: Platform</t>
        </is>
      </c>
      <c r="F6" s="5" t="inlineStr">
        <is>
          <t>Total</t>
        </is>
      </c>
      <c r="G6" s="5" t="inlineStr">
        <is>
          <t>Notes</t>
        </is>
      </c>
    </row>
    <row r="7">
      <c r="A7" s="6" t="inlineStr">
        <is>
          <t>Active Customers</t>
        </is>
      </c>
      <c r="B7" s="18" t="n">
        <v>100</v>
      </c>
      <c r="C7" s="18" t="n">
        <v>30</v>
      </c>
      <c r="D7" s="18" t="n">
        <v>8</v>
      </c>
      <c r="E7" s="18" t="n">
        <v>2</v>
      </c>
      <c r="F7" s="23">
        <f>SUM(B7:E7)</f>
        <v/>
      </c>
    </row>
    <row r="8">
      <c r="A8" s="6" t="inlineStr">
        <is>
          <t>Monthly Price (avg)</t>
        </is>
      </c>
      <c r="B8" s="15" t="n">
        <v>124</v>
      </c>
      <c r="C8" s="15" t="n">
        <v>3125</v>
      </c>
      <c r="D8" s="15" t="n">
        <v>12500</v>
      </c>
      <c r="E8" s="15" t="n">
        <v>37500</v>
      </c>
    </row>
    <row r="9">
      <c r="A9" s="6" t="inlineStr">
        <is>
          <t>Monthly Revenue</t>
        </is>
      </c>
      <c r="B9" s="21">
        <f>B7*B8</f>
        <v/>
      </c>
      <c r="C9" s="21">
        <f>C7*C8</f>
        <v/>
      </c>
      <c r="D9" s="21">
        <f>D7*D8</f>
        <v/>
      </c>
      <c r="E9" s="21">
        <f>E7*E8</f>
        <v/>
      </c>
      <c r="F9" s="21">
        <f>SUM(B9:E9)</f>
        <v/>
      </c>
    </row>
    <row r="10">
      <c r="A10" s="12" t="inlineStr">
        <is>
          <t>DAILY REVENUE (÷22 days)</t>
        </is>
      </c>
      <c r="B10" s="24">
        <f>B9/22</f>
        <v/>
      </c>
      <c r="C10" s="24">
        <f>C9/22</f>
        <v/>
      </c>
      <c r="D10" s="24">
        <f>D9/22</f>
        <v/>
      </c>
      <c r="E10" s="24">
        <f>E9/22</f>
        <v/>
      </c>
      <c r="F10" s="24">
        <f>SUM(B10:E10)</f>
        <v/>
      </c>
    </row>
    <row r="13">
      <c r="A13" s="2" t="inlineStr">
        <is>
          <t>DAILY COSTS</t>
        </is>
      </c>
      <c r="B13" s="3" t="n"/>
      <c r="C13" s="3" t="n"/>
      <c r="D13" s="3" t="n"/>
      <c r="E13" s="3" t="n"/>
      <c r="F13" s="3" t="n"/>
      <c r="G13" s="4" t="n"/>
    </row>
    <row r="15">
      <c r="A15" s="5" t="inlineStr">
        <is>
          <t>Metric</t>
        </is>
      </c>
      <c r="B15" s="5" t="inlineStr">
        <is>
          <t>A: Starter</t>
        </is>
      </c>
      <c r="C15" s="5" t="inlineStr">
        <is>
          <t>B: Pro</t>
        </is>
      </c>
      <c r="D15" s="5" t="inlineStr">
        <is>
          <t>C: Enterprise</t>
        </is>
      </c>
      <c r="E15" s="5" t="inlineStr">
        <is>
          <t>D: Platform</t>
        </is>
      </c>
      <c r="F15" s="5" t="inlineStr">
        <is>
          <t>Total</t>
        </is>
      </c>
      <c r="G15" s="5" t="inlineStr">
        <is>
          <t>Notes</t>
        </is>
      </c>
    </row>
    <row r="16">
      <c r="A16" s="6" t="inlineStr">
        <is>
          <t>Hrs/Customer/Day</t>
        </is>
      </c>
      <c r="B16" s="19" t="n">
        <v>0.02</v>
      </c>
      <c r="C16" s="19" t="n">
        <v>0.1</v>
      </c>
      <c r="D16" s="19" t="n">
        <v>0.07000000000000001</v>
      </c>
      <c r="E16" s="19" t="n">
        <v>0.2</v>
      </c>
      <c r="G16" t="inlineStr">
        <is>
          <t>Based on service level</t>
        </is>
      </c>
    </row>
    <row r="17">
      <c r="A17" s="6" t="inlineStr">
        <is>
          <t>Total Daily Hours</t>
        </is>
      </c>
      <c r="B17" s="22">
        <f>B7*B16</f>
        <v/>
      </c>
      <c r="C17" s="22">
        <f>C7*C16</f>
        <v/>
      </c>
      <c r="D17" s="22">
        <f>D7*D16</f>
        <v/>
      </c>
      <c r="E17" s="22">
        <f>E7*E16</f>
        <v/>
      </c>
      <c r="F17" s="22">
        <f>SUM(B17:E17)</f>
        <v/>
      </c>
    </row>
    <row r="18">
      <c r="A18" s="6" t="inlineStr">
        <is>
          <t>Blended Hourly Cost</t>
        </is>
      </c>
      <c r="B18" s="15" t="n">
        <v>47</v>
      </c>
      <c r="C18" s="15" t="n">
        <v>74</v>
      </c>
      <c r="D18" s="15" t="n">
        <v>68</v>
      </c>
      <c r="E18" s="15" t="n">
        <v>85</v>
      </c>
      <c r="G18" t="inlineStr">
        <is>
          <t>Loaded cost by tier</t>
        </is>
      </c>
    </row>
    <row r="19">
      <c r="A19" s="6" t="inlineStr">
        <is>
          <t>Daily Labor Cost</t>
        </is>
      </c>
      <c r="B19" s="21">
        <f>B17*B18</f>
        <v/>
      </c>
      <c r="C19" s="21">
        <f>C17*C18</f>
        <v/>
      </c>
      <c r="D19" s="21">
        <f>D17*D18</f>
        <v/>
      </c>
      <c r="E19" s="21">
        <f>E17*E18</f>
        <v/>
      </c>
      <c r="F19" s="21">
        <f>SUM(B19:E19)</f>
        <v/>
      </c>
    </row>
    <row r="20">
      <c r="A20" s="6" t="inlineStr">
        <is>
          <t>Daily Infrastructure</t>
        </is>
      </c>
      <c r="B20" s="21">
        <f>100*8/30</f>
        <v/>
      </c>
      <c r="C20" s="21">
        <f>30*75/30</f>
        <v/>
      </c>
      <c r="D20" s="21">
        <f>8*250/30</f>
        <v/>
      </c>
      <c r="E20" s="21">
        <f>2*600/30</f>
        <v/>
      </c>
      <c r="F20" s="21">
        <f>SUM(B20:E20)</f>
        <v/>
      </c>
    </row>
    <row r="21">
      <c r="A21" s="6" t="inlineStr">
        <is>
          <t>Daily Stripe Fees</t>
        </is>
      </c>
      <c r="B21" s="21">
        <f>B10*0.029</f>
        <v/>
      </c>
      <c r="C21" s="21">
        <f>C10*0.029</f>
        <v/>
      </c>
      <c r="D21" s="21">
        <f>D10*0.029</f>
        <v/>
      </c>
      <c r="E21" s="21">
        <f>E10*0.029</f>
        <v/>
      </c>
      <c r="F21" s="21">
        <f>SUM(B21:E21)</f>
        <v/>
      </c>
    </row>
    <row r="22">
      <c r="A22" s="12" t="inlineStr">
        <is>
          <t>TOTAL DAILY COST</t>
        </is>
      </c>
      <c r="B22" s="25">
        <f>SUM(B19:B21)</f>
        <v/>
      </c>
      <c r="C22" s="25">
        <f>SUM(C19:C21)</f>
        <v/>
      </c>
      <c r="D22" s="25">
        <f>SUM(D19:D21)</f>
        <v/>
      </c>
      <c r="E22" s="25">
        <f>SUM(E19:E21)</f>
        <v/>
      </c>
      <c r="F22" s="25">
        <f>SUM(B22:E22)</f>
        <v/>
      </c>
    </row>
    <row r="25">
      <c r="A25" s="2" t="inlineStr">
        <is>
          <t>DAILY PROFIT</t>
        </is>
      </c>
      <c r="B25" s="3" t="n"/>
      <c r="C25" s="3" t="n"/>
      <c r="D25" s="3" t="n"/>
      <c r="E25" s="3" t="n"/>
      <c r="F25" s="3" t="n"/>
      <c r="G25" s="4" t="n"/>
    </row>
    <row r="27">
      <c r="A27" s="5" t="inlineStr">
        <is>
          <t>Metric</t>
        </is>
      </c>
      <c r="B27" s="5" t="inlineStr">
        <is>
          <t>A: Starter</t>
        </is>
      </c>
      <c r="C27" s="5" t="inlineStr">
        <is>
          <t>B: Pro</t>
        </is>
      </c>
      <c r="D27" s="5" t="inlineStr">
        <is>
          <t>C: Enterprise</t>
        </is>
      </c>
      <c r="E27" s="5" t="inlineStr">
        <is>
          <t>D: Platform</t>
        </is>
      </c>
      <c r="F27" s="5" t="inlineStr">
        <is>
          <t>Total</t>
        </is>
      </c>
      <c r="G27" s="5" t="inlineStr">
        <is>
          <t>Notes</t>
        </is>
      </c>
    </row>
    <row r="28">
      <c r="A28" s="6" t="inlineStr">
        <is>
          <t>Daily Gross Profit</t>
        </is>
      </c>
      <c r="B28" s="21">
        <f>B10-B22</f>
        <v/>
      </c>
      <c r="C28" s="21">
        <f>C10-C22</f>
        <v/>
      </c>
      <c r="D28" s="21">
        <f>D10-D22</f>
        <v/>
      </c>
      <c r="E28" s="21">
        <f>E10-E22</f>
        <v/>
      </c>
      <c r="F28" s="21">
        <f>SUM(B28:E28)</f>
        <v/>
      </c>
    </row>
    <row r="29">
      <c r="A29" s="6" t="inlineStr">
        <is>
          <t>Daily Gross Margin %</t>
        </is>
      </c>
      <c r="B29" s="13">
        <f>B28/B10</f>
        <v/>
      </c>
      <c r="C29" s="13">
        <f>C28/C10</f>
        <v/>
      </c>
      <c r="D29" s="13">
        <f>D28/D10</f>
        <v/>
      </c>
      <c r="E29" s="13">
        <f>E28/E10</f>
        <v/>
      </c>
      <c r="F29" s="13">
        <f>F28/F10</f>
        <v/>
      </c>
    </row>
    <row r="31">
      <c r="A31" s="6" t="inlineStr">
        <is>
          <t>Daily Fixed Overhead</t>
        </is>
      </c>
      <c r="F31" s="15" t="n">
        <v>660</v>
      </c>
      <c r="G31" t="inlineStr">
        <is>
          <t>Tim + base costs</t>
        </is>
      </c>
    </row>
    <row r="32">
      <c r="A32" s="12" t="inlineStr">
        <is>
          <t>DAILY NET PROFIT</t>
        </is>
      </c>
      <c r="F32" s="26">
        <f>F28-F31</f>
        <v/>
      </c>
    </row>
    <row r="33">
      <c r="A33" s="6" t="inlineStr">
        <is>
          <t>Daily Net Margin %</t>
        </is>
      </c>
      <c r="F33" s="13">
        <f>F32/F10</f>
        <v/>
      </c>
    </row>
    <row r="36">
      <c r="A36" s="2" t="inlineStr">
        <is>
          <t>REAL-TIME OPERATIONAL METRICS</t>
        </is>
      </c>
      <c r="B36" s="3" t="n"/>
      <c r="C36" s="3" t="n"/>
      <c r="D36" s="3" t="n"/>
      <c r="E36" s="3" t="n"/>
      <c r="F36" s="3" t="n"/>
      <c r="G36" s="4" t="n"/>
    </row>
    <row r="38">
      <c r="A38" s="6" t="inlineStr">
        <is>
          <t>Revenue per Hour Worked</t>
        </is>
      </c>
      <c r="F38" s="9">
        <f>F10/F17</f>
        <v/>
      </c>
      <c r="G38" t="inlineStr">
        <is>
          <t>Target: &gt;$500/hr</t>
        </is>
      </c>
    </row>
    <row r="39">
      <c r="A39" s="6" t="inlineStr">
        <is>
          <t>Profit per Hour Worked</t>
        </is>
      </c>
      <c r="F39" s="9">
        <f>F32/F17</f>
        <v/>
      </c>
      <c r="G39" t="inlineStr">
        <is>
          <t>Target: &gt;$150/hr</t>
        </is>
      </c>
    </row>
    <row r="40">
      <c r="A40" s="6" t="inlineStr">
        <is>
          <t>Customers per FTE (8hr day)</t>
        </is>
      </c>
      <c r="F40" s="22">
        <f>F7/(F17/8)</f>
        <v/>
      </c>
    </row>
    <row r="41">
      <c r="A41" s="6" t="inlineStr">
        <is>
          <t>Break-even Customers (daily)</t>
        </is>
      </c>
      <c r="F41" s="22">
        <f>F31/(F10/F7)</f>
        <v/>
      </c>
      <c r="G41" t="inlineStr">
        <is>
          <t>Min customers to cover fixed</t>
        </is>
      </c>
    </row>
  </sheetData>
  <mergeCells count="4">
    <mergeCell ref="A13:G13"/>
    <mergeCell ref="A36:G36"/>
    <mergeCell ref="A25:G25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2026-01-27T17:58:54Z</dcterms:created>
  <dcterms:modified xmlns:dcterms="http://purl.org/dc/terms/" xmlns:xsi="http://www.w3.org/2001/XMLSchema-instance" xsi:type="dcterms:W3CDTF">2026-01-27T17:58:54Z</dcterms:modified>
</cp:coreProperties>
</file>